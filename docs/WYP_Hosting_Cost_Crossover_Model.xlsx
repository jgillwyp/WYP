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ser Tiers" sheetId="2" state="visible" r:id="rId4"/>
    <sheet name="Vercel Cost Model" sheetId="3" state="visible" r:id="rId5"/>
    <sheet name="Supabase Cost Model" sheetId="4" state="visible" r:id="rId6"/>
    <sheet name="AWS (PRD sec 6.2)" sheetId="5" state="visible" r:id="rId7"/>
    <sheet name="Crossover Summary" sheetId="6" state="visible" r:id="rId8"/>
    <sheet name="AWS Activate Credi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<sst xmlns="http://schemas.openxmlformats.org/spreadsheetml/2006/main" count="167" uniqueCount="142">
  <si>
    <t xml:space="preserve">Would You Please — Hosting Cost Crossover Model</t>
  </si>
  <si>
    <t xml:space="preserve">Assumptions. Blue cells are editable inputs. All dollar figures in this workbook are 2026 list prices, pre-discount.</t>
  </si>
  <si>
    <t xml:space="preserve">1. Activity assumptions — from the PRD (§6.2.1, v12.9)</t>
  </si>
  <si>
    <t xml:space="preserve">Items (Requests + ToDos) per user per day</t>
  </si>
  <si>
    <t xml:space="preserve">PRD §6.2.1 — linear across Pilot/Year 1/Long-Term (5,000/10,000 = 50,000/100,000 = 500,000/1,000,000 = 0.5)</t>
  </si>
  <si>
    <t xml:space="preserve">Dialog entries per user per day</t>
  </si>
  <si>
    <t xml:space="preserve">PRD §6.2.1 — linear across all three anchors (0.3/user/day)</t>
  </si>
  <si>
    <t xml:space="preserve">Notification emails per user per day (at or below 100,000 users)</t>
  </si>
  <si>
    <t xml:space="preserve">PRD §6.2.1 Pilot/Year 1 anchors: 10,500/10,000 = 105,000/100,000 = 1.05/user/day</t>
  </si>
  <si>
    <t xml:space="preserve">SMS per user per day (at or below 100,000 users)</t>
  </si>
  <si>
    <t xml:space="preserve">PRD §6.2.1 Pilot/Year 1 anchors: 250/10,000 = 2,500/100,000 = 0.025/user/day</t>
  </si>
  <si>
    <t xml:space="preserve">Notification emails/day at 1,000,000 users</t>
  </si>
  <si>
    <t xml:space="preserve">PRD §6.2.1 Long-Term anchor — NOT linear; PRD notes most notifications shift to mobile push after Phase 1</t>
  </si>
  <si>
    <t xml:space="preserve">SMS/day at 1,000,000 users</t>
  </si>
  <si>
    <t xml:space="preserve">PRD §6.2.1 Long-Term anchor — NOT linear; push-first at scale, and Text delivery is a paid-subscriber-only feature from v12.2</t>
  </si>
  <si>
    <t xml:space="preserve">Attachment storage per user, Pilot (GB/user)</t>
  </si>
  <si>
    <t xml:space="preserve">PRD §6.2.1: 0.5 TB / 10,000 users</t>
  </si>
  <si>
    <t xml:space="preserve">Attachment storage per user, Year 1 (GB/user)</t>
  </si>
  <si>
    <t xml:space="preserve">PRD §6.2.1: 2 TB / 100,000 users (per-user figure falls — S3 lifecycle tiering assumed)</t>
  </si>
  <si>
    <t xml:space="preserve">Attachment storage, Long-Term TOTAL (GB)</t>
  </si>
  <si>
    <t xml:space="preserve">PRD §6.2.1: midpoint of the PRD's own 20–40 TB Long-Term range</t>
  </si>
  <si>
    <t xml:space="preserve">Monthly-active share of registered users</t>
  </si>
  <si>
    <t xml:space="preserve">PRD §6.2 modeling assumption: 50–70% range; midpoint used here</t>
  </si>
  <si>
    <t xml:space="preserve">Planning-uncertainty band (± around the base estimate)</t>
  </si>
  <si>
    <t xml:space="preserve">Matches the PRD's own stated accuracy for its AWS estimate (“planning-level, roughly plus/minus 50%”) — applied symmetrically to the Vercel/Supabase side here so the two stacks are compared on the same footing</t>
  </si>
  <si>
    <t xml:space="preserve">2. Vercel technical assumptions — NOT in the PRD (the PRD modeled AWS EC2/RDS, not a serverless host). These are new planning-level estimates; replace with real figures from Vercel's own Usage dashboard once there is real traffic.</t>
  </si>
  <si>
    <t xml:space="preserve">Data transfer per Monthly Active User per month (MB)</t>
  </si>
  <si>
    <t xml:space="preserve">Planning estimate for a lean, mostly-JSON/text app — most static assets are CDN/browser-cached after first visit</t>
  </si>
  <si>
    <t xml:space="preserve">Function invocations per Item/Dialog action</t>
  </si>
  <si>
    <t xml:space="preserve">Planning estimate — create/save/list/detail round trips generated by one action</t>
  </si>
  <si>
    <t xml:space="preserve">Baseline function invocations per MAU per month</t>
  </si>
  <si>
    <t xml:space="preserve">Planning estimate — navigation, search, list refreshes not tied to a specific item</t>
  </si>
  <si>
    <t xml:space="preserve">Edge requests per function invocation</t>
  </si>
  <si>
    <t xml:space="preserve">Planning estimate — static asset + middleware requests alongside each function call</t>
  </si>
  <si>
    <t xml:space="preserve">Avg active CPU time per invocation (seconds)</t>
  </si>
  <si>
    <t xml:space="preserve">Planning estimate for a lean Node.js API route / SSR render</t>
  </si>
  <si>
    <t xml:space="preserve">Avg provisioned memory per function (GB)</t>
  </si>
  <si>
    <t xml:space="preserve">Planning estimate (512 MB functions)</t>
  </si>
  <si>
    <t xml:space="preserve">Vercel developer seats</t>
  </si>
  <si>
    <t xml:space="preserve">Solo developer today — raise if the team grows; cost is flat per seat, not per user</t>
  </si>
  <si>
    <t xml:space="preserve">3. Supabase technical assumptions — also new planning-level estimates, not in the PRD.</t>
  </si>
  <si>
    <t xml:space="preserve">Avg DB row size incl. indexes, items+dialog rows (KB)</t>
  </si>
  <si>
    <t xml:space="preserve">Planning estimate</t>
  </si>
  <si>
    <t xml:space="preserve">Per-user fixed DB overhead — profile, contacts, settings (KB)</t>
  </si>
  <si>
    <t xml:space="preserve">DB egress per MAU per month (MB)</t>
  </si>
  <si>
    <t xml:space="preserve">Planning estimate — raw query payload Supabase serves to the Vercel functions, smaller than client-facing bandwidth since it precedes JSON shaping/compression</t>
  </si>
  <si>
    <t xml:space="preserve">Derived usage volumes by registered-user tier</t>
  </si>
  <si>
    <t xml:space="preserve">1,000 and 50,000 are added beyond the PRD's own three anchors (10,000 / 100,000 / 1,000,000), interpolated as noted per row.</t>
  </si>
  <si>
    <t xml:space="preserve">Metric</t>
  </si>
  <si>
    <t xml:space="preserve">1,000</t>
  </si>
  <si>
    <t xml:space="preserve">10,000 (Pilot)</t>
  </si>
  <si>
    <t xml:space="preserve">50,000</t>
  </si>
  <si>
    <t xml:space="preserve">100,000 (Year 1)</t>
  </si>
  <si>
    <t xml:space="preserve">1,000,000 (Long-Term)</t>
  </si>
  <si>
    <t xml:space="preserve">Registered users</t>
  </si>
  <si>
    <t xml:space="preserve">Items (Requests + ToDos) / day</t>
  </si>
  <si>
    <t xml:space="preserve">Dialog entries / day</t>
  </si>
  <si>
    <t xml:space="preserve">Notification emails / day</t>
  </si>
  <si>
    <t xml:space="preserve">SMS / day</t>
  </si>
  <si>
    <t xml:space="preserve">Monthly Active Users (MAU)</t>
  </si>
  <si>
    <t xml:space="preserve">Attachment/Location storage (GB)</t>
  </si>
  <si>
    <t xml:space="preserve">Row 10 (50,000-user column) interpolates the per-user storage rate on a log10(users) scale between the Pilot and Year 1 anchors — a standard technique for order-of-magnitude planning between two known points, not a PRD figure.</t>
  </si>
  <si>
    <t xml:space="preserve">Vercel cost model (Pro plan, 2026 list pricing)</t>
  </si>
  <si>
    <t xml:space="preserve">Source: vercel.com/pricing, fetched 2026-08-14. $20/mo per seat + $20 usage credit; overage billed as shown below.</t>
  </si>
  <si>
    <t xml:space="preserve">Monthly function invocations</t>
  </si>
  <si>
    <t xml:space="preserve">Monthly edge requests</t>
  </si>
  <si>
    <t xml:space="preserve">Monthly data transfer (GB)</t>
  </si>
  <si>
    <t xml:space="preserve">Monthly compute (provisioned-memory GB-hours)</t>
  </si>
  <si>
    <t xml:space="preserve">Cost components ($/month)</t>
  </si>
  <si>
    <t xml:space="preserve">Seats — $20/mo × seats</t>
  </si>
  <si>
    <t xml:space="preserve">Bandwidth overage — &gt;1,000 GB @ $0.15/GB</t>
  </si>
  <si>
    <t xml:space="preserve">Edge request overage — &gt;10M @ $2/1M</t>
  </si>
  <si>
    <t xml:space="preserve">Function invocation overage — &gt;1M @ $0.60/1M</t>
  </si>
  <si>
    <t xml:space="preserve">Compute — GB-hours @ $0.0106/GB-hr</t>
  </si>
  <si>
    <t xml:space="preserve">Vercel monthly total — base estimate</t>
  </si>
  <si>
    <t xml:space="preserve">Vercel monthly — LOW (base × (1 − uncertainty))</t>
  </si>
  <si>
    <t xml:space="preserve">Vercel monthly — HIGH (base × (1 + uncertainty))</t>
  </si>
  <si>
    <t xml:space="preserve">Vercel ANNUAL — LOW</t>
  </si>
  <si>
    <t xml:space="preserve">Vercel ANNUAL — HIGH</t>
  </si>
  <si>
    <t xml:space="preserve">Supabase cost model (Pro plan, 2026 list pricing)</t>
  </si>
  <si>
    <t xml:space="preserve">Source: supabase.com/pricing, fetched 2026-08-14. $25/mo base + compute add-on + metered overage.</t>
  </si>
  <si>
    <t xml:space="preserve">Compute tier breakpoints (edit to adjust sizing)</t>
  </si>
  <si>
    <t xml:space="preserve">Users ≥</t>
  </si>
  <si>
    <t xml:space="preserve">Tier</t>
  </si>
  <si>
    <t xml:space="preserve">$/mo</t>
  </si>
  <si>
    <t xml:space="preserve">Micro</t>
  </si>
  <si>
    <t xml:space="preserve">Compute tier price ($/mo)</t>
  </si>
  <si>
    <t xml:space="preserve">Small</t>
  </si>
  <si>
    <t xml:space="preserve">Compute — net of $10/mo credit</t>
  </si>
  <si>
    <t xml:space="preserve">Medium</t>
  </si>
  <si>
    <t xml:space="preserve">MAU</t>
  </si>
  <si>
    <t xml:space="preserve">Large</t>
  </si>
  <si>
    <t xml:space="preserve">MAU overage — &gt;100,000 @ $0.00325</t>
  </si>
  <si>
    <t xml:space="preserve">XL</t>
  </si>
  <si>
    <t xml:space="preserve">Estimated DB size (GB)</t>
  </si>
  <si>
    <t xml:space="preserve">2XL</t>
  </si>
  <si>
    <t xml:space="preserve">Disk overage — &gt;8 GB @ $0.125/GB</t>
  </si>
  <si>
    <t xml:space="preserve">DB egress (GB/month)</t>
  </si>
  <si>
    <t xml:space="preserve">Rough sizing guess, not a load test. Real compute needs depend on query patterns, not just user count.</t>
  </si>
  <si>
    <t xml:space="preserve">Egress overage — &gt;250 GB @ $0.09/GB</t>
  </si>
  <si>
    <t xml:space="preserve">File-storage overage — &gt;100 GB @ $0.0213/GB</t>
  </si>
  <si>
    <t xml:space="preserve">Supabase base plan ($/mo)</t>
  </si>
  <si>
    <t xml:space="preserve">Supabase monthly total — base estimate</t>
  </si>
  <si>
    <t xml:space="preserve">Supabase monthly — LOW</t>
  </si>
  <si>
    <t xml:space="preserve">Supabase monthly — HIGH</t>
  </si>
  <si>
    <t xml:space="preserve">Supabase ANNUAL — LOW</t>
  </si>
  <si>
    <t xml:space="preserve">Supabase ANNUAL — HIGH</t>
  </si>
  <si>
    <t xml:space="preserve">At very large scale, Supabase's Team plan ($599/mo base) adds SOC2/ISO27001 and priority SLAs that may matter for a large user base independent of the metered costs above — not included here.</t>
  </si>
  <si>
    <t xml:space="preserve">AWS cost reference — from the PRD's own model</t>
  </si>
  <si>
    <t xml:space="preserve">Source: WouldYouPlease_PRD_v12_9.docx §6.2.2, “planning-level estimates, accuracy roughly plus/minus 50%, AWS us-east-1 on-demand pricing as of mid-2026, before AWS Activate credits or reserved-instance discounts.”</t>
  </si>
  <si>
    <t xml:space="preserve">AWS ANNUAL — LOW ($)</t>
  </si>
  <si>
    <t xml:space="preserve">AWS ANNUAL — HIGH ($)</t>
  </si>
  <si>
    <t xml:space="preserve">1,000-user column: AWS's architecture in the PRD is always-on EC2 + RDS + ElastiCache, sized to the Pilot's own 10,000-user ceiling — that fixed floor doesn't shrink much below 10,000 real users, unlike Vercel/Supabase's metered, scale-to-near-zero model. 50,000-user column: log-interpolated between the Pilot and Year 1 anchors — not a PRD figure.</t>
  </si>
  <si>
    <t xml:space="preserve">Crossover summary — AWS (PRD) vs. Vercel + Supabase, annual cost</t>
  </si>
  <si>
    <t xml:space="preserve">All figures annualized, list pricing, before any AWS Activate credits. See each cost-model tab for the build-up.</t>
  </si>
  <si>
    <t xml:space="preserve">AWS — LOW</t>
  </si>
  <si>
    <t xml:space="preserve">AWS — HIGH</t>
  </si>
  <si>
    <t xml:space="preserve">AWS — MID</t>
  </si>
  <si>
    <t xml:space="preserve">Vercel+Supabase — LOW</t>
  </si>
  <si>
    <t xml:space="preserve">Vercel+Supabase — HIGH</t>
  </si>
  <si>
    <t xml:space="preserve">Vercel+Supabase — MID</t>
  </si>
  <si>
    <t xml:space="preserve">AWS ÷ Vercel+Supabase (mid-point ratio)</t>
  </si>
  <si>
    <t xml:space="preserve">Reading the ratio (col H): a value above 1.00x means the PRD's AWS estimate costs more than the Vercel+Supabase estimate at that tier; below 1.00x means AWS would be cheaper.</t>
  </si>
  <si>
    <t xml:space="preserve">Why there may be no clean single “crossover point”:</t>
  </si>
  <si>
    <t xml:space="preserve">AWS as modeled in the PRD (§8.2) is always-on EC2 + RDS + ElastiCache — cost is dominated by fixed instance sizing, so it doesn't fall much below the Pilot's own floor at low user counts, and climbs in discrete instance-size steps rather than smoothly. Vercel and Supabase are both metered — pay for requests/compute-seconds/storage actually used — so their cost scales toward zero at low usage and rises continuously with it. That's a difference in cost SHAPE, not just level: whether AWS "wins" at a given scale depends heavily on how request/compute-intensive the app actually is per user, which is the least certain input in this whole model (see the Vercel/Supabase technical assumptions — none of them come from the PRD).</t>
  </si>
  <si>
    <t xml:space="preserve">AWS Activate credits — what actually determines the amount</t>
  </si>
  <si>
    <t xml:space="preserve">Sources: aws.amazon.com/startups (fetched 2026-08-14) and third-party program-tier summaries current as of mid-2026.</t>
  </si>
  <si>
    <t xml:space="preserve">Headline</t>
  </si>
  <si>
    <t xml:space="preserve">Up to $200,000 in AWS Activate Credits, redeemable on 200+ AWS services including third-party Bedrock models; credits typically last up to 2 years.</t>
  </si>
  <si>
    <t xml:space="preserve">Typical amount</t>
  </si>
  <si>
    <t xml:space="preserve">Qualification — NOT a function of your registered-user count</t>
  </si>
  <si>
    <t xml:space="preserve">Founders (self-serve)</t>
  </si>
  <si>
    <t xml:space="preserve">$1,000–$5,000</t>
  </si>
  <si>
    <t xml:space="preserve">Any founder can self-apply directly on aws.amazon.com/startups/join. Requires: self-funded/bootstrapped, not previously affiliated with an AWS Activate Provider, and no prior AWS credits of equal or greater value. Available immediately, regardless of scale.</t>
  </si>
  <si>
    <t xml:space="preserve">Portfolio</t>
  </si>
  <si>
    <t xml:space="preserve">$25,000–$100,000</t>
  </si>
  <si>
    <t xml:space="preserve">Requires an Organization ID from an accredited AWS Activate Provider — a VC firm, accelerator, or incubator you're backed by or a member of. This is the actual gate on this tier, not usage.</t>
  </si>
  <si>
    <t xml:space="preserve">Generative AI / scale tiers</t>
  </si>
  <si>
    <t xml:space="preserve">up to $200,000+</t>
  </si>
  <si>
    <t xml:space="preserve">Tied to committed usage of AWS AI services (Bedrock, SageMaker, Trainium) — not relevant to WYP unless an AI feature is added later.</t>
  </si>
  <si>
    <t xml:space="preserve">What this means for Jim's question</t>
  </si>
  <si>
    <t xml:space="preserve">There is no published “at N registered users, you unlock $X in credits” formula — the tier gate is funding/backing status (bootstrapped vs. VC/accelerator-backed), not traffic. A working beta with real usage is a genuinely useful talking point once you're in a conversation with an AWS startup rep (it's evidence the product works and infra needs are real), and matters more for negotiated custom/Enterprise deals at real scale, but it doesn't move you between the published tiers above on its own. The Founders tier ($1K–$5K) is available today, with zero users, at zero cost to apply.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</si>
</sst>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#,##0"/>
    <numFmt numFmtId="167" formatCode="\$#,##0"/>
    <numFmt numFmtId="168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933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0.5</v>
      </c>
      <c r="C5" s="6" t="s">
        <v>4</v>
      </c>
    </row>
    <row r="6" customFormat="false" ht="15" hidden="false" customHeight="false" outlineLevel="0" collapsed="false">
      <c r="A6" s="4" t="s">
        <v>5</v>
      </c>
      <c r="B6" s="5" t="n">
        <v>0.3</v>
      </c>
      <c r="C6" s="6" t="s">
        <v>6</v>
      </c>
    </row>
    <row r="7" customFormat="false" ht="15" hidden="false" customHeight="false" outlineLevel="0" collapsed="false">
      <c r="A7" s="4" t="s">
        <v>7</v>
      </c>
      <c r="B7" s="7" t="n">
        <v>1.05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v>0.025</v>
      </c>
      <c r="C8" s="6" t="s">
        <v>10</v>
      </c>
    </row>
    <row r="9" customFormat="false" ht="15" hidden="false" customHeight="false" outlineLevel="0" collapsed="false">
      <c r="A9" s="4" t="s">
        <v>11</v>
      </c>
      <c r="B9" s="7" t="n">
        <v>260000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7" t="n">
        <v>5000</v>
      </c>
      <c r="C10" s="6" t="s">
        <v>14</v>
      </c>
    </row>
    <row r="11" customFormat="false" ht="15" hidden="false" customHeight="false" outlineLevel="0" collapsed="false">
      <c r="A11" s="4" t="s">
        <v>15</v>
      </c>
      <c r="B11" s="5" t="n">
        <v>0.05</v>
      </c>
      <c r="C11" s="6" t="s">
        <v>16</v>
      </c>
    </row>
    <row r="12" customFormat="false" ht="15" hidden="false" customHeight="false" outlineLevel="0" collapsed="false">
      <c r="A12" s="4" t="s">
        <v>17</v>
      </c>
      <c r="B12" s="5" t="n">
        <v>0.02</v>
      </c>
      <c r="C12" s="6" t="s">
        <v>18</v>
      </c>
    </row>
    <row r="13" customFormat="false" ht="15" hidden="false" customHeight="false" outlineLevel="0" collapsed="false">
      <c r="A13" s="4" t="s">
        <v>19</v>
      </c>
      <c r="B13" s="7" t="n">
        <v>30000</v>
      </c>
      <c r="C13" s="6" t="s">
        <v>20</v>
      </c>
    </row>
    <row r="14" customFormat="false" ht="15" hidden="false" customHeight="false" outlineLevel="0" collapsed="false">
      <c r="A14" s="4" t="s">
        <v>21</v>
      </c>
      <c r="B14" s="5" t="n">
        <v>0.6</v>
      </c>
      <c r="C14" s="6" t="s">
        <v>22</v>
      </c>
    </row>
    <row r="15" customFormat="false" ht="15" hidden="false" customHeight="false" outlineLevel="0" collapsed="false">
      <c r="A15" s="4" t="s">
        <v>23</v>
      </c>
      <c r="B15" s="5" t="n">
        <v>0.5</v>
      </c>
      <c r="C15" s="6" t="s">
        <v>24</v>
      </c>
    </row>
    <row r="17" customFormat="false" ht="64.9" hidden="false" customHeight="false" outlineLevel="0" collapsed="false">
      <c r="A17" s="8" t="s">
        <v>25</v>
      </c>
    </row>
    <row r="18" customFormat="false" ht="15" hidden="false" customHeight="false" outlineLevel="0" collapsed="false">
      <c r="A18" s="4" t="s">
        <v>26</v>
      </c>
      <c r="B18" s="7" t="n">
        <v>20</v>
      </c>
      <c r="C18" s="6" t="s">
        <v>27</v>
      </c>
    </row>
    <row r="19" customFormat="false" ht="15" hidden="false" customHeight="false" outlineLevel="0" collapsed="false">
      <c r="A19" s="4" t="s">
        <v>28</v>
      </c>
      <c r="B19" s="7" t="n">
        <v>4</v>
      </c>
      <c r="C19" s="6" t="s">
        <v>29</v>
      </c>
    </row>
    <row r="20" customFormat="false" ht="15" hidden="false" customHeight="false" outlineLevel="0" collapsed="false">
      <c r="A20" s="4" t="s">
        <v>30</v>
      </c>
      <c r="B20" s="7" t="n">
        <v>150</v>
      </c>
      <c r="C20" s="6" t="s">
        <v>31</v>
      </c>
    </row>
    <row r="21" customFormat="false" ht="15" hidden="false" customHeight="false" outlineLevel="0" collapsed="false">
      <c r="A21" s="4" t="s">
        <v>32</v>
      </c>
      <c r="B21" s="7" t="n">
        <v>2</v>
      </c>
      <c r="C21" s="6" t="s">
        <v>33</v>
      </c>
    </row>
    <row r="22" customFormat="false" ht="15" hidden="false" customHeight="false" outlineLevel="0" collapsed="false">
      <c r="A22" s="4" t="s">
        <v>34</v>
      </c>
      <c r="B22" s="5" t="n">
        <v>0.15</v>
      </c>
      <c r="C22" s="6" t="s">
        <v>35</v>
      </c>
    </row>
    <row r="23" customFormat="false" ht="15" hidden="false" customHeight="false" outlineLevel="0" collapsed="false">
      <c r="A23" s="4" t="s">
        <v>36</v>
      </c>
      <c r="B23" s="5" t="n">
        <v>0.5</v>
      </c>
      <c r="C23" s="6" t="s">
        <v>37</v>
      </c>
    </row>
    <row r="24" customFormat="false" ht="15" hidden="false" customHeight="false" outlineLevel="0" collapsed="false">
      <c r="A24" s="4" t="s">
        <v>38</v>
      </c>
      <c r="B24" s="7" t="n">
        <v>1</v>
      </c>
      <c r="C24" s="6" t="s">
        <v>39</v>
      </c>
    </row>
    <row r="26" customFormat="false" ht="15" hidden="false" customHeight="false" outlineLevel="0" collapsed="false">
      <c r="A26" s="3" t="s">
        <v>40</v>
      </c>
    </row>
    <row r="27" customFormat="false" ht="15" hidden="false" customHeight="false" outlineLevel="0" collapsed="false">
      <c r="A27" s="4" t="s">
        <v>41</v>
      </c>
      <c r="B27" s="7" t="n">
        <v>2</v>
      </c>
      <c r="C27" s="6" t="s">
        <v>42</v>
      </c>
    </row>
    <row r="28" customFormat="false" ht="15" hidden="false" customHeight="false" outlineLevel="0" collapsed="false">
      <c r="A28" s="4" t="s">
        <v>43</v>
      </c>
      <c r="B28" s="7" t="n">
        <v>5</v>
      </c>
      <c r="C28" s="6" t="s">
        <v>42</v>
      </c>
    </row>
    <row r="29" customFormat="false" ht="15" hidden="false" customHeight="false" outlineLevel="0" collapsed="false">
      <c r="A29" s="4" t="s">
        <v>44</v>
      </c>
      <c r="B29" s="7" t="n">
        <v>10</v>
      </c>
      <c r="C29" s="6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30" hidden="false" customHeight="true" outlineLevel="0" collapsed="false">
      <c r="A3" s="9" t="s">
        <v>48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53</v>
      </c>
    </row>
    <row r="4" customFormat="false" ht="15" hidden="false" customHeight="false" outlineLevel="0" collapsed="false">
      <c r="A4" s="0" t="s">
        <v>54</v>
      </c>
      <c r="B4" s="10" t="n">
        <v>1000</v>
      </c>
      <c r="C4" s="10" t="n">
        <v>10000</v>
      </c>
      <c r="D4" s="10" t="n">
        <v>50000</v>
      </c>
      <c r="E4" s="10" t="n">
        <v>100000</v>
      </c>
      <c r="F4" s="10" t="n">
        <v>1000000</v>
      </c>
    </row>
    <row r="5" customFormat="false" ht="15" hidden="false" customHeight="false" outlineLevel="0" collapsed="false">
      <c r="A5" s="0" t="s">
        <v>55</v>
      </c>
      <c r="B5" s="11" t="n">
        <f aca="false">B4*Assumptions!$B$5</f>
        <v>500</v>
      </c>
      <c r="C5" s="11" t="n">
        <f aca="false">C4*Assumptions!$B$5</f>
        <v>5000</v>
      </c>
      <c r="D5" s="11" t="n">
        <f aca="false">D4*Assumptions!$B$5</f>
        <v>25000</v>
      </c>
      <c r="E5" s="11" t="n">
        <f aca="false">E4*Assumptions!$B$5</f>
        <v>50000</v>
      </c>
      <c r="F5" s="11" t="n">
        <f aca="false">F4*Assumptions!$B$5</f>
        <v>500000</v>
      </c>
    </row>
    <row r="6" customFormat="false" ht="15" hidden="false" customHeight="false" outlineLevel="0" collapsed="false">
      <c r="A6" s="0" t="s">
        <v>56</v>
      </c>
      <c r="B6" s="11" t="n">
        <f aca="false">B4*Assumptions!$B$6</f>
        <v>300</v>
      </c>
      <c r="C6" s="11" t="n">
        <f aca="false">C4*Assumptions!$B$6</f>
        <v>3000</v>
      </c>
      <c r="D6" s="11" t="n">
        <f aca="false">D4*Assumptions!$B$6</f>
        <v>15000</v>
      </c>
      <c r="E6" s="11" t="n">
        <f aca="false">E4*Assumptions!$B$6</f>
        <v>30000</v>
      </c>
      <c r="F6" s="11" t="n">
        <f aca="false">F4*Assumptions!$B$6</f>
        <v>300000</v>
      </c>
    </row>
    <row r="7" customFormat="false" ht="15" hidden="false" customHeight="false" outlineLevel="0" collapsed="false">
      <c r="A7" s="0" t="s">
        <v>57</v>
      </c>
      <c r="B7" s="11" t="n">
        <f aca="false">B4*Assumptions!$B$7</f>
        <v>1050</v>
      </c>
      <c r="C7" s="11" t="n">
        <f aca="false">C4*Assumptions!$B$7</f>
        <v>10500</v>
      </c>
      <c r="D7" s="11" t="n">
        <f aca="false">D4*Assumptions!$B$7</f>
        <v>52500</v>
      </c>
      <c r="E7" s="11" t="n">
        <f aca="false">E4*Assumptions!$B$7</f>
        <v>105000</v>
      </c>
      <c r="F7" s="11" t="n">
        <f aca="false">Assumptions!$B$9</f>
        <v>260000</v>
      </c>
    </row>
    <row r="8" customFormat="false" ht="15" hidden="false" customHeight="false" outlineLevel="0" collapsed="false">
      <c r="A8" s="0" t="s">
        <v>58</v>
      </c>
      <c r="B8" s="11" t="n">
        <f aca="false">B4*Assumptions!$B$8</f>
        <v>25</v>
      </c>
      <c r="C8" s="11" t="n">
        <f aca="false">C4*Assumptions!$B$8</f>
        <v>250</v>
      </c>
      <c r="D8" s="11" t="n">
        <f aca="false">D4*Assumptions!$B$8</f>
        <v>1250</v>
      </c>
      <c r="E8" s="11" t="n">
        <f aca="false">E4*Assumptions!$B$8</f>
        <v>2500</v>
      </c>
      <c r="F8" s="11" t="n">
        <f aca="false">Assumptions!$B$10</f>
        <v>5000</v>
      </c>
    </row>
    <row r="9" customFormat="false" ht="15" hidden="false" customHeight="false" outlineLevel="0" collapsed="false">
      <c r="A9" s="0" t="s">
        <v>59</v>
      </c>
      <c r="B9" s="11" t="n">
        <f aca="false">B4*Assumptions!$B$14</f>
        <v>600</v>
      </c>
      <c r="C9" s="11" t="n">
        <f aca="false">C4*Assumptions!$B$14</f>
        <v>6000</v>
      </c>
      <c r="D9" s="11" t="n">
        <f aca="false">D4*Assumptions!$B$14</f>
        <v>30000</v>
      </c>
      <c r="E9" s="11" t="n">
        <f aca="false">E4*Assumptions!$B$14</f>
        <v>60000</v>
      </c>
      <c r="F9" s="11" t="n">
        <f aca="false">F4*Assumptions!$B$14</f>
        <v>600000</v>
      </c>
    </row>
    <row r="10" customFormat="false" ht="15" hidden="false" customHeight="false" outlineLevel="0" collapsed="false">
      <c r="A10" s="0" t="s">
        <v>60</v>
      </c>
      <c r="B10" s="11" t="n">
        <f aca="false">B4*Assumptions!$B$11</f>
        <v>50</v>
      </c>
      <c r="C10" s="11" t="n">
        <f aca="false">C4*Assumptions!$B$11</f>
        <v>500</v>
      </c>
      <c r="D10" s="11" t="n">
        <f aca="false">D4*(Assumptions!$B$11+(Assumptions!$B$12-Assumptions!$B$11)*(LOG10(D4)-LOG10(C4))/(LOG10(E4)-LOG10(C4)))</f>
        <v>1451.54499349597</v>
      </c>
      <c r="E10" s="11" t="n">
        <f aca="false">E4*Assumptions!$B$12</f>
        <v>2000</v>
      </c>
      <c r="F10" s="11" t="n">
        <f aca="false">Assumptions!$B$13</f>
        <v>30000</v>
      </c>
    </row>
    <row r="12" customFormat="false" ht="22.35" hidden="false" customHeight="true" outlineLevel="0" collapsed="false">
      <c r="A12" s="12" t="s">
        <v>61</v>
      </c>
      <c r="B12" s="12"/>
      <c r="C12" s="12"/>
      <c r="D12" s="12"/>
      <c r="E12" s="12"/>
      <c r="F12" s="12"/>
    </row>
  </sheetData>
  <mergeCells count="1"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0" hidden="false" customHeight="true" outlineLevel="0" collapsed="false">
      <c r="A3" s="9" t="s">
        <v>48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53</v>
      </c>
    </row>
    <row r="4" customFormat="false" ht="15" hidden="false" customHeight="false" outlineLevel="0" collapsed="false">
      <c r="A4" s="0" t="s">
        <v>54</v>
      </c>
      <c r="B4" s="13" t="n">
        <f aca="false">'User Tiers'!B4</f>
        <v>1000</v>
      </c>
      <c r="C4" s="13" t="n">
        <f aca="false">'User Tiers'!C4</f>
        <v>10000</v>
      </c>
      <c r="D4" s="13" t="n">
        <f aca="false">'User Tiers'!D4</f>
        <v>50000</v>
      </c>
      <c r="E4" s="13" t="n">
        <f aca="false">'User Tiers'!E4</f>
        <v>100000</v>
      </c>
      <c r="F4" s="13" t="n">
        <f aca="false">'User Tiers'!F4</f>
        <v>1000000</v>
      </c>
    </row>
    <row r="5" customFormat="false" ht="15" hidden="false" customHeight="false" outlineLevel="0" collapsed="false">
      <c r="A5" s="0" t="s">
        <v>64</v>
      </c>
      <c r="B5" s="11" t="n">
        <f aca="false">(('User Tiers'!B$5+'User Tiers'!B$6)*30*Assumptions!$B$19)+('User Tiers'!B$9*Assumptions!$B$20)</f>
        <v>186000</v>
      </c>
      <c r="C5" s="11" t="n">
        <f aca="false">(('User Tiers'!C$5+'User Tiers'!C$6)*30*Assumptions!$B$19)+('User Tiers'!C$9*Assumptions!$B$20)</f>
        <v>1860000</v>
      </c>
      <c r="D5" s="11" t="n">
        <f aca="false">(('User Tiers'!D$5+'User Tiers'!D$6)*30*Assumptions!$B$19)+('User Tiers'!D$9*Assumptions!$B$20)</f>
        <v>9300000</v>
      </c>
      <c r="E5" s="11" t="n">
        <f aca="false">(('User Tiers'!E$5+'User Tiers'!E$6)*30*Assumptions!$B$19)+('User Tiers'!E$9*Assumptions!$B$20)</f>
        <v>18600000</v>
      </c>
      <c r="F5" s="11" t="n">
        <f aca="false">(('User Tiers'!F$5+'User Tiers'!F$6)*30*Assumptions!$B$19)+('User Tiers'!F$9*Assumptions!$B$20)</f>
        <v>186000000</v>
      </c>
    </row>
    <row r="6" customFormat="false" ht="15" hidden="false" customHeight="false" outlineLevel="0" collapsed="false">
      <c r="A6" s="0" t="s">
        <v>65</v>
      </c>
      <c r="B6" s="11" t="n">
        <f aca="false">B5*Assumptions!$B$21</f>
        <v>372000</v>
      </c>
      <c r="C6" s="11" t="n">
        <f aca="false">C5*Assumptions!$B$21</f>
        <v>3720000</v>
      </c>
      <c r="D6" s="11" t="n">
        <f aca="false">D5*Assumptions!$B$21</f>
        <v>18600000</v>
      </c>
      <c r="E6" s="11" t="n">
        <f aca="false">E5*Assumptions!$B$21</f>
        <v>37200000</v>
      </c>
      <c r="F6" s="11" t="n">
        <f aca="false">F5*Assumptions!$B$21</f>
        <v>372000000</v>
      </c>
    </row>
    <row r="7" customFormat="false" ht="15" hidden="false" customHeight="false" outlineLevel="0" collapsed="false">
      <c r="A7" s="0" t="s">
        <v>66</v>
      </c>
      <c r="B7" s="11" t="n">
        <f aca="false">('User Tiers'!B$9*Assumptions!$B$18)/1024</f>
        <v>11.71875</v>
      </c>
      <c r="C7" s="11" t="n">
        <f aca="false">('User Tiers'!C$9*Assumptions!$B$18)/1024</f>
        <v>117.1875</v>
      </c>
      <c r="D7" s="11" t="n">
        <f aca="false">('User Tiers'!D$9*Assumptions!$B$18)/1024</f>
        <v>585.9375</v>
      </c>
      <c r="E7" s="11" t="n">
        <f aca="false">('User Tiers'!E$9*Assumptions!$B$18)/1024</f>
        <v>1171.875</v>
      </c>
      <c r="F7" s="11" t="n">
        <f aca="false">('User Tiers'!F$9*Assumptions!$B$18)/1024</f>
        <v>11718.75</v>
      </c>
    </row>
    <row r="8" customFormat="false" ht="15" hidden="false" customHeight="false" outlineLevel="0" collapsed="false">
      <c r="A8" s="0" t="s">
        <v>67</v>
      </c>
      <c r="B8" s="11" t="n">
        <f aca="false">B5*Assumptions!$B$22*Assumptions!$B$23/3600</f>
        <v>3.875</v>
      </c>
      <c r="C8" s="11" t="n">
        <f aca="false">C5*Assumptions!$B$22*Assumptions!$B$23/3600</f>
        <v>38.75</v>
      </c>
      <c r="D8" s="11" t="n">
        <f aca="false">D5*Assumptions!$B$22*Assumptions!$B$23/3600</f>
        <v>193.75</v>
      </c>
      <c r="E8" s="11" t="n">
        <f aca="false">E5*Assumptions!$B$22*Assumptions!$B$23/3600</f>
        <v>387.5</v>
      </c>
      <c r="F8" s="11" t="n">
        <f aca="false">F5*Assumptions!$B$22*Assumptions!$B$23/3600</f>
        <v>3875</v>
      </c>
    </row>
    <row r="10" customFormat="false" ht="15" hidden="false" customHeight="false" outlineLevel="0" collapsed="false">
      <c r="A10" s="3" t="s">
        <v>68</v>
      </c>
    </row>
    <row r="11" customFormat="false" ht="15" hidden="false" customHeight="false" outlineLevel="0" collapsed="false">
      <c r="A11" s="0" t="s">
        <v>69</v>
      </c>
      <c r="B11" s="14" t="n">
        <f aca="false">Assumptions!$B$24*20</f>
        <v>20</v>
      </c>
      <c r="C11" s="14" t="n">
        <f aca="false">Assumptions!$B$24*20</f>
        <v>20</v>
      </c>
      <c r="D11" s="14" t="n">
        <f aca="false">Assumptions!$B$24*20</f>
        <v>20</v>
      </c>
      <c r="E11" s="14" t="n">
        <f aca="false">Assumptions!$B$24*20</f>
        <v>20</v>
      </c>
      <c r="F11" s="14" t="n">
        <f aca="false">Assumptions!$B$24*20</f>
        <v>20</v>
      </c>
    </row>
    <row r="12" customFormat="false" ht="15" hidden="false" customHeight="false" outlineLevel="0" collapsed="false">
      <c r="A12" s="0" t="s">
        <v>70</v>
      </c>
      <c r="B12" s="14" t="n">
        <f aca="false">MAX(0,B7-1000)*0.15</f>
        <v>0</v>
      </c>
      <c r="C12" s="14" t="n">
        <f aca="false">MAX(0,C7-1000)*0.15</f>
        <v>0</v>
      </c>
      <c r="D12" s="14" t="n">
        <f aca="false">MAX(0,D7-1000)*0.15</f>
        <v>0</v>
      </c>
      <c r="E12" s="14" t="n">
        <f aca="false">MAX(0,E7-1000)*0.15</f>
        <v>25.78125</v>
      </c>
      <c r="F12" s="14" t="n">
        <f aca="false">MAX(0,F7-1000)*0.15</f>
        <v>1607.8125</v>
      </c>
    </row>
    <row r="13" customFormat="false" ht="15" hidden="false" customHeight="false" outlineLevel="0" collapsed="false">
      <c r="A13" s="0" t="s">
        <v>71</v>
      </c>
      <c r="B13" s="14" t="n">
        <f aca="false">MAX(0,B6-10000000)/1000000*2</f>
        <v>0</v>
      </c>
      <c r="C13" s="14" t="n">
        <f aca="false">MAX(0,C6-10000000)/1000000*2</f>
        <v>0</v>
      </c>
      <c r="D13" s="14" t="n">
        <f aca="false">MAX(0,D6-10000000)/1000000*2</f>
        <v>17.2</v>
      </c>
      <c r="E13" s="14" t="n">
        <f aca="false">MAX(0,E6-10000000)/1000000*2</f>
        <v>54.4</v>
      </c>
      <c r="F13" s="14" t="n">
        <f aca="false">MAX(0,F6-10000000)/1000000*2</f>
        <v>724</v>
      </c>
    </row>
    <row r="14" customFormat="false" ht="15" hidden="false" customHeight="false" outlineLevel="0" collapsed="false">
      <c r="A14" s="0" t="s">
        <v>72</v>
      </c>
      <c r="B14" s="14" t="n">
        <f aca="false">MAX(0,B5-1000000)/1000000*0.6</f>
        <v>0</v>
      </c>
      <c r="C14" s="14" t="n">
        <f aca="false">MAX(0,C5-1000000)/1000000*0.6</f>
        <v>0.516</v>
      </c>
      <c r="D14" s="14" t="n">
        <f aca="false">MAX(0,D5-1000000)/1000000*0.6</f>
        <v>4.98</v>
      </c>
      <c r="E14" s="14" t="n">
        <f aca="false">MAX(0,E5-1000000)/1000000*0.6</f>
        <v>10.56</v>
      </c>
      <c r="F14" s="14" t="n">
        <f aca="false">MAX(0,F5-1000000)/1000000*0.6</f>
        <v>111</v>
      </c>
    </row>
    <row r="15" customFormat="false" ht="15" hidden="false" customHeight="false" outlineLevel="0" collapsed="false">
      <c r="A15" s="0" t="s">
        <v>73</v>
      </c>
      <c r="B15" s="14" t="n">
        <f aca="false">B8*0.0106</f>
        <v>0.041075</v>
      </c>
      <c r="C15" s="14" t="n">
        <f aca="false">C8*0.0106</f>
        <v>0.41075</v>
      </c>
      <c r="D15" s="14" t="n">
        <f aca="false">D8*0.0106</f>
        <v>2.05375</v>
      </c>
      <c r="E15" s="14" t="n">
        <f aca="false">E8*0.0106</f>
        <v>4.1075</v>
      </c>
      <c r="F15" s="14" t="n">
        <f aca="false">F8*0.0106</f>
        <v>41.075</v>
      </c>
    </row>
    <row r="17" customFormat="false" ht="15" hidden="false" customHeight="false" outlineLevel="0" collapsed="false">
      <c r="A17" s="3" t="s">
        <v>74</v>
      </c>
      <c r="B17" s="15" t="n">
        <f aca="false">SUM(B11:B15)</f>
        <v>20.041075</v>
      </c>
      <c r="C17" s="15" t="n">
        <f aca="false">SUM(C11:C15)</f>
        <v>20.92675</v>
      </c>
      <c r="D17" s="15" t="n">
        <f aca="false">SUM(D11:D15)</f>
        <v>44.23375</v>
      </c>
      <c r="E17" s="15" t="n">
        <f aca="false">SUM(E11:E15)</f>
        <v>114.84875</v>
      </c>
      <c r="F17" s="15" t="n">
        <f aca="false">SUM(F11:F15)</f>
        <v>2503.8875</v>
      </c>
    </row>
    <row r="18" customFormat="false" ht="15" hidden="false" customHeight="false" outlineLevel="0" collapsed="false">
      <c r="A18" s="0" t="s">
        <v>75</v>
      </c>
      <c r="B18" s="14" t="n">
        <f aca="false">B17*(1-Assumptions!$B$15)</f>
        <v>10.0205375</v>
      </c>
      <c r="C18" s="14" t="n">
        <f aca="false">C17*(1-Assumptions!$B$15)</f>
        <v>10.463375</v>
      </c>
      <c r="D18" s="14" t="n">
        <f aca="false">D17*(1-Assumptions!$B$15)</f>
        <v>22.116875</v>
      </c>
      <c r="E18" s="14" t="n">
        <f aca="false">E17*(1-Assumptions!$B$15)</f>
        <v>57.424375</v>
      </c>
      <c r="F18" s="14" t="n">
        <f aca="false">F17*(1-Assumptions!$B$15)</f>
        <v>1251.94375</v>
      </c>
    </row>
    <row r="19" customFormat="false" ht="15" hidden="false" customHeight="false" outlineLevel="0" collapsed="false">
      <c r="A19" s="0" t="s">
        <v>76</v>
      </c>
      <c r="B19" s="14" t="n">
        <f aca="false">B17*(1+Assumptions!$B$15)</f>
        <v>30.0616125</v>
      </c>
      <c r="C19" s="14" t="n">
        <f aca="false">C17*(1+Assumptions!$B$15)</f>
        <v>31.390125</v>
      </c>
      <c r="D19" s="14" t="n">
        <f aca="false">D17*(1+Assumptions!$B$15)</f>
        <v>66.350625</v>
      </c>
      <c r="E19" s="14" t="n">
        <f aca="false">E17*(1+Assumptions!$B$15)</f>
        <v>172.273125</v>
      </c>
      <c r="F19" s="14" t="n">
        <f aca="false">F17*(1+Assumptions!$B$15)</f>
        <v>3755.83125</v>
      </c>
    </row>
    <row r="20" customFormat="false" ht="15" hidden="false" customHeight="false" outlineLevel="0" collapsed="false">
      <c r="A20" s="3" t="s">
        <v>77</v>
      </c>
      <c r="B20" s="15" t="n">
        <f aca="false">B18*12</f>
        <v>120.24645</v>
      </c>
      <c r="C20" s="15" t="n">
        <f aca="false">C18*12</f>
        <v>125.5605</v>
      </c>
      <c r="D20" s="15" t="n">
        <f aca="false">D18*12</f>
        <v>265.4025</v>
      </c>
      <c r="E20" s="15" t="n">
        <f aca="false">E18*12</f>
        <v>689.0925</v>
      </c>
      <c r="F20" s="15" t="n">
        <f aca="false">F18*12</f>
        <v>15023.325</v>
      </c>
    </row>
    <row r="21" customFormat="false" ht="15" hidden="false" customHeight="false" outlineLevel="0" collapsed="false">
      <c r="A21" s="3" t="s">
        <v>78</v>
      </c>
      <c r="B21" s="15" t="n">
        <f aca="false">B19*12</f>
        <v>360.73935</v>
      </c>
      <c r="C21" s="15" t="n">
        <f aca="false">C19*12</f>
        <v>376.6815</v>
      </c>
      <c r="D21" s="15" t="n">
        <f aca="false">D19*12</f>
        <v>796.2075</v>
      </c>
      <c r="E21" s="15" t="n">
        <f aca="false">E19*12</f>
        <v>2067.2775</v>
      </c>
      <c r="F21" s="15" t="n">
        <f aca="false">F19*12</f>
        <v>45069.975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10" min="9" style="0" width="10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H2" s="16" t="s">
        <v>81</v>
      </c>
      <c r="I2" s="16"/>
      <c r="J2" s="16"/>
    </row>
    <row r="3" customFormat="false" ht="30" hidden="false" customHeight="true" outlineLevel="0" collapsed="false">
      <c r="A3" s="9" t="s">
        <v>48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53</v>
      </c>
      <c r="H3" s="3" t="s">
        <v>82</v>
      </c>
      <c r="I3" s="3" t="s">
        <v>83</v>
      </c>
      <c r="J3" s="3" t="s">
        <v>84</v>
      </c>
    </row>
    <row r="4" customFormat="false" ht="15" hidden="false" customHeight="false" outlineLevel="0" collapsed="false">
      <c r="A4" s="0" t="s">
        <v>54</v>
      </c>
      <c r="B4" s="13" t="n">
        <f aca="false">'User Tiers'!B4</f>
        <v>1000</v>
      </c>
      <c r="C4" s="13" t="n">
        <f aca="false">'User Tiers'!C4</f>
        <v>10000</v>
      </c>
      <c r="D4" s="13" t="n">
        <f aca="false">'User Tiers'!D4</f>
        <v>50000</v>
      </c>
      <c r="E4" s="13" t="n">
        <f aca="false">'User Tiers'!E4</f>
        <v>100000</v>
      </c>
      <c r="F4" s="13" t="n">
        <f aca="false">'User Tiers'!F4</f>
        <v>1000000</v>
      </c>
      <c r="H4" s="7" t="n">
        <v>0</v>
      </c>
      <c r="I4" s="17" t="s">
        <v>85</v>
      </c>
      <c r="J4" s="18" t="n">
        <v>10</v>
      </c>
    </row>
    <row r="5" customFormat="false" ht="15" hidden="false" customHeight="false" outlineLevel="0" collapsed="false">
      <c r="A5" s="0" t="s">
        <v>86</v>
      </c>
      <c r="B5" s="14" t="n">
        <f aca="false">INDEX($J$4:$J$9,MATCH(B4,$H$4:$H$9,1))</f>
        <v>10</v>
      </c>
      <c r="C5" s="14" t="n">
        <f aca="false">INDEX($J$4:$J$9,MATCH(C4,$H$4:$H$9,1))</f>
        <v>10</v>
      </c>
      <c r="D5" s="14" t="n">
        <f aca="false">INDEX($J$4:$J$9,MATCH(D4,$H$4:$H$9,1))</f>
        <v>15</v>
      </c>
      <c r="E5" s="14" t="n">
        <f aca="false">INDEX($J$4:$J$9,MATCH(E4,$H$4:$H$9,1))</f>
        <v>60</v>
      </c>
      <c r="F5" s="14" t="n">
        <f aca="false">INDEX($J$4:$J$9,MATCH(F4,$H$4:$H$9,1))</f>
        <v>410</v>
      </c>
      <c r="H5" s="7" t="n">
        <v>20000</v>
      </c>
      <c r="I5" s="17" t="s">
        <v>87</v>
      </c>
      <c r="J5" s="18" t="n">
        <v>15</v>
      </c>
    </row>
    <row r="6" customFormat="false" ht="15" hidden="false" customHeight="false" outlineLevel="0" collapsed="false">
      <c r="A6" s="0" t="s">
        <v>88</v>
      </c>
      <c r="B6" s="14" t="n">
        <f aca="false">MAX(0,B5-10)</f>
        <v>0</v>
      </c>
      <c r="C6" s="14" t="n">
        <f aca="false">MAX(0,C5-10)</f>
        <v>0</v>
      </c>
      <c r="D6" s="14" t="n">
        <f aca="false">MAX(0,D5-10)</f>
        <v>5</v>
      </c>
      <c r="E6" s="14" t="n">
        <f aca="false">MAX(0,E5-10)</f>
        <v>50</v>
      </c>
      <c r="F6" s="14" t="n">
        <f aca="false">MAX(0,F5-10)</f>
        <v>400</v>
      </c>
      <c r="H6" s="7" t="n">
        <v>75000</v>
      </c>
      <c r="I6" s="17" t="s">
        <v>89</v>
      </c>
      <c r="J6" s="18" t="n">
        <v>60</v>
      </c>
    </row>
    <row r="7" customFormat="false" ht="15" hidden="false" customHeight="false" outlineLevel="0" collapsed="false">
      <c r="A7" s="0" t="s">
        <v>90</v>
      </c>
      <c r="B7" s="11" t="n">
        <f aca="false">'User Tiers'!B$9</f>
        <v>600</v>
      </c>
      <c r="C7" s="11" t="n">
        <f aca="false">'User Tiers'!C$9</f>
        <v>6000</v>
      </c>
      <c r="D7" s="11" t="n">
        <f aca="false">'User Tiers'!D$9</f>
        <v>30000</v>
      </c>
      <c r="E7" s="11" t="n">
        <f aca="false">'User Tiers'!E$9</f>
        <v>60000</v>
      </c>
      <c r="F7" s="11" t="n">
        <f aca="false">'User Tiers'!F$9</f>
        <v>600000</v>
      </c>
      <c r="H7" s="7" t="n">
        <v>250000</v>
      </c>
      <c r="I7" s="17" t="s">
        <v>91</v>
      </c>
      <c r="J7" s="18" t="n">
        <v>110</v>
      </c>
    </row>
    <row r="8" customFormat="false" ht="15" hidden="false" customHeight="false" outlineLevel="0" collapsed="false">
      <c r="A8" s="0" t="s">
        <v>92</v>
      </c>
      <c r="B8" s="14" t="n">
        <f aca="false">MAX(0,B7-100000)*0.00325</f>
        <v>0</v>
      </c>
      <c r="C8" s="14" t="n">
        <f aca="false">MAX(0,C7-100000)*0.00325</f>
        <v>0</v>
      </c>
      <c r="D8" s="14" t="n">
        <f aca="false">MAX(0,D7-100000)*0.00325</f>
        <v>0</v>
      </c>
      <c r="E8" s="14" t="n">
        <f aca="false">MAX(0,E7-100000)*0.00325</f>
        <v>0</v>
      </c>
      <c r="F8" s="14" t="n">
        <f aca="false">MAX(0,F7-100000)*0.00325</f>
        <v>1625</v>
      </c>
      <c r="H8" s="7" t="n">
        <v>600000</v>
      </c>
      <c r="I8" s="17" t="s">
        <v>93</v>
      </c>
      <c r="J8" s="18" t="n">
        <v>210</v>
      </c>
    </row>
    <row r="9" customFormat="false" ht="15" hidden="false" customHeight="false" outlineLevel="0" collapsed="false">
      <c r="A9" s="0" t="s">
        <v>94</v>
      </c>
      <c r="B9" s="19" t="n">
        <f aca="false">(('User Tiers'!B$5+'User Tiers'!B$6)*365*Assumptions!$B$27/1000000)+('User Tiers'!B$4*Assumptions!$B$28/1000000)</f>
        <v>0.589</v>
      </c>
      <c r="C9" s="19" t="n">
        <f aca="false">(('User Tiers'!C$5+'User Tiers'!C$6)*365*Assumptions!$B$27/1000000)+('User Tiers'!C$4*Assumptions!$B$28/1000000)</f>
        <v>5.89</v>
      </c>
      <c r="D9" s="19" t="n">
        <f aca="false">(('User Tiers'!D$5+'User Tiers'!D$6)*365*Assumptions!$B$27/1000000)+('User Tiers'!D$4*Assumptions!$B$28/1000000)</f>
        <v>29.45</v>
      </c>
      <c r="E9" s="19" t="n">
        <f aca="false">(('User Tiers'!E$5+'User Tiers'!E$6)*365*Assumptions!$B$27/1000000)+('User Tiers'!E$4*Assumptions!$B$28/1000000)</f>
        <v>58.9</v>
      </c>
      <c r="F9" s="19" t="n">
        <f aca="false">(('User Tiers'!F$5+'User Tiers'!F$6)*365*Assumptions!$B$27/1000000)+('User Tiers'!F$4*Assumptions!$B$28/1000000)</f>
        <v>589</v>
      </c>
      <c r="H9" s="7" t="n">
        <v>1000000</v>
      </c>
      <c r="I9" s="17" t="s">
        <v>95</v>
      </c>
      <c r="J9" s="18" t="n">
        <v>410</v>
      </c>
    </row>
    <row r="10" customFormat="false" ht="15" hidden="false" customHeight="false" outlineLevel="0" collapsed="false">
      <c r="A10" s="0" t="s">
        <v>96</v>
      </c>
      <c r="B10" s="14" t="n">
        <f aca="false">MAX(0,B9-8)*0.125</f>
        <v>0</v>
      </c>
      <c r="C10" s="14" t="n">
        <f aca="false">MAX(0,C9-8)*0.125</f>
        <v>0</v>
      </c>
      <c r="D10" s="14" t="n">
        <f aca="false">MAX(0,D9-8)*0.125</f>
        <v>2.68125</v>
      </c>
      <c r="E10" s="14" t="n">
        <f aca="false">MAX(0,E9-8)*0.125</f>
        <v>6.3625</v>
      </c>
      <c r="F10" s="14" t="n">
        <f aca="false">MAX(0,F9-8)*0.125</f>
        <v>72.625</v>
      </c>
    </row>
    <row r="11" customFormat="false" ht="15" hidden="false" customHeight="true" outlineLevel="0" collapsed="false">
      <c r="A11" s="0" t="s">
        <v>97</v>
      </c>
      <c r="B11" s="11" t="n">
        <f aca="false">(B7*Assumptions!$B$29)/1024</f>
        <v>5.859375</v>
      </c>
      <c r="C11" s="11" t="n">
        <f aca="false">(C7*Assumptions!$B$29)/1024</f>
        <v>58.59375</v>
      </c>
      <c r="D11" s="11" t="n">
        <f aca="false">(D7*Assumptions!$B$29)/1024</f>
        <v>292.96875</v>
      </c>
      <c r="E11" s="11" t="n">
        <f aca="false">(E7*Assumptions!$B$29)/1024</f>
        <v>585.9375</v>
      </c>
      <c r="F11" s="11" t="n">
        <f aca="false">(F7*Assumptions!$B$29)/1024</f>
        <v>5859.375</v>
      </c>
      <c r="H11" s="12" t="s">
        <v>98</v>
      </c>
      <c r="I11" s="12"/>
      <c r="J11" s="12"/>
    </row>
    <row r="12" customFormat="false" ht="15" hidden="false" customHeight="false" outlineLevel="0" collapsed="false">
      <c r="A12" s="0" t="s">
        <v>99</v>
      </c>
      <c r="B12" s="14" t="n">
        <f aca="false">MAX(0,B11-250)*0.09</f>
        <v>0</v>
      </c>
      <c r="C12" s="14" t="n">
        <f aca="false">MAX(0,C11-250)*0.09</f>
        <v>0</v>
      </c>
      <c r="D12" s="14" t="n">
        <f aca="false">MAX(0,D11-250)*0.09</f>
        <v>3.8671875</v>
      </c>
      <c r="E12" s="14" t="n">
        <f aca="false">MAX(0,E11-250)*0.09</f>
        <v>30.234375</v>
      </c>
      <c r="F12" s="14" t="n">
        <f aca="false">MAX(0,F11-250)*0.09</f>
        <v>504.84375</v>
      </c>
      <c r="H12" s="12"/>
      <c r="I12" s="12"/>
      <c r="J12" s="12"/>
    </row>
    <row r="13" customFormat="false" ht="15" hidden="false" customHeight="false" outlineLevel="0" collapsed="false">
      <c r="A13" s="0" t="s">
        <v>60</v>
      </c>
      <c r="B13" s="13" t="n">
        <f aca="false">'User Tiers'!B$10</f>
        <v>50</v>
      </c>
      <c r="C13" s="13" t="n">
        <f aca="false">'User Tiers'!C$10</f>
        <v>500</v>
      </c>
      <c r="D13" s="13" t="n">
        <f aca="false">'User Tiers'!D$10</f>
        <v>1451.54499349597</v>
      </c>
      <c r="E13" s="13" t="n">
        <f aca="false">'User Tiers'!E$10</f>
        <v>2000</v>
      </c>
      <c r="F13" s="13" t="n">
        <f aca="false">'User Tiers'!F$10</f>
        <v>30000</v>
      </c>
      <c r="H13" s="12"/>
      <c r="I13" s="12"/>
      <c r="J13" s="12"/>
    </row>
    <row r="14" customFormat="false" ht="15" hidden="false" customHeight="false" outlineLevel="0" collapsed="false">
      <c r="A14" s="0" t="s">
        <v>100</v>
      </c>
      <c r="B14" s="14" t="n">
        <f aca="false">MAX(0,B13-100)*0.0213</f>
        <v>0</v>
      </c>
      <c r="C14" s="14" t="n">
        <f aca="false">MAX(0,C13-100)*0.0213</f>
        <v>8.52</v>
      </c>
      <c r="D14" s="14" t="n">
        <f aca="false">MAX(0,D13-100)*0.0213</f>
        <v>28.7879083614642</v>
      </c>
      <c r="E14" s="14" t="n">
        <f aca="false">MAX(0,E13-100)*0.0213</f>
        <v>40.47</v>
      </c>
      <c r="F14" s="14" t="n">
        <f aca="false">MAX(0,F13-100)*0.0213</f>
        <v>636.87</v>
      </c>
    </row>
    <row r="16" customFormat="false" ht="15" hidden="false" customHeight="false" outlineLevel="0" collapsed="false">
      <c r="A16" s="0" t="s">
        <v>101</v>
      </c>
      <c r="B16" s="18" t="n">
        <v>25</v>
      </c>
      <c r="C16" s="18" t="n">
        <v>25</v>
      </c>
      <c r="D16" s="18" t="n">
        <v>25</v>
      </c>
      <c r="E16" s="18" t="n">
        <v>25</v>
      </c>
      <c r="F16" s="18" t="n">
        <v>25</v>
      </c>
    </row>
    <row r="17" customFormat="false" ht="15" hidden="false" customHeight="false" outlineLevel="0" collapsed="false">
      <c r="A17" s="3" t="s">
        <v>102</v>
      </c>
      <c r="B17" s="15" t="n">
        <f aca="false">B16+B6+B8+B10+B12+B14</f>
        <v>25</v>
      </c>
      <c r="C17" s="15" t="n">
        <f aca="false">C16+C6+C8+C10+C12+C14</f>
        <v>33.52</v>
      </c>
      <c r="D17" s="15" t="n">
        <f aca="false">D16+D6+D8+D10+D12+D14</f>
        <v>65.3363458614642</v>
      </c>
      <c r="E17" s="15" t="n">
        <f aca="false">E16+E6+E8+E10+E12+E14</f>
        <v>152.066875</v>
      </c>
      <c r="F17" s="15" t="n">
        <f aca="false">F16+F6+F8+F10+F12+F14</f>
        <v>3264.33875</v>
      </c>
    </row>
    <row r="18" customFormat="false" ht="15" hidden="false" customHeight="false" outlineLevel="0" collapsed="false">
      <c r="A18" s="0" t="s">
        <v>103</v>
      </c>
      <c r="B18" s="14" t="n">
        <f aca="false">B17*(1-Assumptions!$B$15)</f>
        <v>12.5</v>
      </c>
      <c r="C18" s="14" t="n">
        <f aca="false">C17*(1-Assumptions!$B$15)</f>
        <v>16.76</v>
      </c>
      <c r="D18" s="14" t="n">
        <f aca="false">D17*(1-Assumptions!$B$15)</f>
        <v>32.6681729307321</v>
      </c>
      <c r="E18" s="14" t="n">
        <f aca="false">E17*(1-Assumptions!$B$15)</f>
        <v>76.0334375</v>
      </c>
      <c r="F18" s="14" t="n">
        <f aca="false">F17*(1-Assumptions!$B$15)</f>
        <v>1632.169375</v>
      </c>
    </row>
    <row r="19" customFormat="false" ht="15" hidden="false" customHeight="false" outlineLevel="0" collapsed="false">
      <c r="A19" s="0" t="s">
        <v>104</v>
      </c>
      <c r="B19" s="14" t="n">
        <f aca="false">B17*(1+Assumptions!$B$15)</f>
        <v>37.5</v>
      </c>
      <c r="C19" s="14" t="n">
        <f aca="false">C17*(1+Assumptions!$B$15)</f>
        <v>50.28</v>
      </c>
      <c r="D19" s="14" t="n">
        <f aca="false">D17*(1+Assumptions!$B$15)</f>
        <v>98.0045187921963</v>
      </c>
      <c r="E19" s="14" t="n">
        <f aca="false">E17*(1+Assumptions!$B$15)</f>
        <v>228.1003125</v>
      </c>
      <c r="F19" s="14" t="n">
        <f aca="false">F17*(1+Assumptions!$B$15)</f>
        <v>4896.508125</v>
      </c>
    </row>
    <row r="20" customFormat="false" ht="15" hidden="false" customHeight="false" outlineLevel="0" collapsed="false">
      <c r="A20" s="3" t="s">
        <v>105</v>
      </c>
      <c r="B20" s="15" t="n">
        <f aca="false">B18*12</f>
        <v>150</v>
      </c>
      <c r="C20" s="15" t="n">
        <f aca="false">C18*12</f>
        <v>201.12</v>
      </c>
      <c r="D20" s="15" t="n">
        <f aca="false">D18*12</f>
        <v>392.018075168785</v>
      </c>
      <c r="E20" s="15" t="n">
        <f aca="false">E18*12</f>
        <v>912.40125</v>
      </c>
      <c r="F20" s="15" t="n">
        <f aca="false">F18*12</f>
        <v>19586.0325</v>
      </c>
    </row>
    <row r="21" customFormat="false" ht="15" hidden="false" customHeight="false" outlineLevel="0" collapsed="false">
      <c r="A21" s="3" t="s">
        <v>106</v>
      </c>
      <c r="B21" s="15" t="n">
        <f aca="false">B19*12</f>
        <v>450</v>
      </c>
      <c r="C21" s="15" t="n">
        <f aca="false">C19*12</f>
        <v>603.36</v>
      </c>
      <c r="D21" s="15" t="n">
        <f aca="false">D19*12</f>
        <v>1176.05422550636</v>
      </c>
      <c r="E21" s="15" t="n">
        <f aca="false">E19*12</f>
        <v>2737.20375</v>
      </c>
      <c r="F21" s="15" t="n">
        <f aca="false">F19*12</f>
        <v>58758.0975</v>
      </c>
    </row>
    <row r="23" customFormat="false" ht="22.35" hidden="false" customHeight="true" outlineLevel="0" collapsed="false">
      <c r="A23" s="12" t="s">
        <v>107</v>
      </c>
      <c r="B23" s="12"/>
      <c r="C23" s="12"/>
      <c r="D23" s="12"/>
      <c r="E23" s="12"/>
      <c r="F23" s="12"/>
    </row>
  </sheetData>
  <mergeCells count="3">
    <mergeCell ref="H2:J2"/>
    <mergeCell ref="H11:J13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30" hidden="false" customHeight="true" outlineLevel="0" collapsed="false">
      <c r="A3" s="9" t="s">
        <v>48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53</v>
      </c>
    </row>
    <row r="4" customFormat="false" ht="15" hidden="false" customHeight="false" outlineLevel="0" collapsed="false">
      <c r="A4" s="0" t="s">
        <v>54</v>
      </c>
      <c r="B4" s="7" t="n">
        <v>1000</v>
      </c>
      <c r="C4" s="7" t="n">
        <v>10000</v>
      </c>
      <c r="D4" s="7" t="n">
        <v>50000</v>
      </c>
      <c r="E4" s="7" t="n">
        <v>100000</v>
      </c>
      <c r="F4" s="7" t="n">
        <v>1000000</v>
      </c>
    </row>
    <row r="6" customFormat="false" ht="15" hidden="false" customHeight="false" outlineLevel="0" collapsed="false">
      <c r="A6" s="3" t="s">
        <v>110</v>
      </c>
      <c r="B6" s="14" t="n">
        <f aca="false">C6</f>
        <v>4400</v>
      </c>
      <c r="C6" s="18" t="n">
        <v>4400</v>
      </c>
      <c r="D6" s="14" t="n">
        <f aca="false">C6+(E6-C6)*(LOG10(D4)-LOG10(C4))/(LOG10(E4)-LOG10(C4))</f>
        <v>17400.84208065</v>
      </c>
      <c r="E6" s="18" t="n">
        <v>23000</v>
      </c>
      <c r="F6" s="18" t="n">
        <v>100000</v>
      </c>
    </row>
    <row r="7" customFormat="false" ht="15" hidden="false" customHeight="false" outlineLevel="0" collapsed="false">
      <c r="A7" s="3" t="s">
        <v>111</v>
      </c>
      <c r="B7" s="14" t="n">
        <f aca="false">C7</f>
        <v>7900</v>
      </c>
      <c r="C7" s="18" t="n">
        <v>7900</v>
      </c>
      <c r="D7" s="14" t="n">
        <f aca="false">C7+(E7-C7)*(LOG10(D4)-LOG10(C4))/(LOG10(E4)-LOG10(C4))</f>
        <v>29637.9671348502</v>
      </c>
      <c r="E7" s="18" t="n">
        <v>39000</v>
      </c>
      <c r="F7" s="18" t="n">
        <v>180000</v>
      </c>
    </row>
    <row r="9" customFormat="false" ht="60" hidden="false" customHeight="true" outlineLevel="0" collapsed="false">
      <c r="A9" s="12" t="s">
        <v>112</v>
      </c>
      <c r="B9" s="12"/>
      <c r="C9" s="12"/>
      <c r="D9" s="12"/>
      <c r="E9" s="12"/>
      <c r="F9" s="12"/>
    </row>
  </sheetData>
  <mergeCells count="1"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6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45" hidden="false" customHeight="true" outlineLevel="0" collapsed="false">
      <c r="A4" s="9" t="s">
        <v>54</v>
      </c>
      <c r="B4" s="9" t="s">
        <v>115</v>
      </c>
      <c r="C4" s="9" t="s">
        <v>116</v>
      </c>
      <c r="D4" s="9" t="s">
        <v>117</v>
      </c>
      <c r="E4" s="9" t="s">
        <v>118</v>
      </c>
      <c r="F4" s="9" t="s">
        <v>119</v>
      </c>
      <c r="G4" s="9" t="s">
        <v>120</v>
      </c>
      <c r="H4" s="9" t="s">
        <v>121</v>
      </c>
    </row>
    <row r="5" customFormat="false" ht="15" hidden="false" customHeight="false" outlineLevel="0" collapsed="false">
      <c r="A5" s="13" t="n">
        <f aca="false">'User Tiers'!B4</f>
        <v>1000</v>
      </c>
      <c r="B5" s="20" t="n">
        <f aca="false">'AWS (PRD sec 6.2)'!B6</f>
        <v>4400</v>
      </c>
      <c r="C5" s="20" t="n">
        <f aca="false">'AWS (PRD sec 6.2)'!B7</f>
        <v>7900</v>
      </c>
      <c r="D5" s="15" t="n">
        <f aca="false">AVERAGE(B5:C5)</f>
        <v>6150</v>
      </c>
      <c r="E5" s="21" t="n">
        <f aca="false">'Vercel Cost Model'!B20+'Supabase Cost Model'!B20</f>
        <v>270.24645</v>
      </c>
      <c r="F5" s="21" t="n">
        <f aca="false">'Vercel Cost Model'!B21+'Supabase Cost Model'!B21</f>
        <v>810.73935</v>
      </c>
      <c r="G5" s="15" t="n">
        <f aca="false">AVERAGE(E5:F5)</f>
        <v>540.4929</v>
      </c>
      <c r="H5" s="22" t="n">
        <f aca="false">D5/G5</f>
        <v>11.3785028443482</v>
      </c>
    </row>
    <row r="6" customFormat="false" ht="15" hidden="false" customHeight="false" outlineLevel="0" collapsed="false">
      <c r="A6" s="13" t="n">
        <f aca="false">'User Tiers'!C4</f>
        <v>10000</v>
      </c>
      <c r="B6" s="20" t="n">
        <f aca="false">'AWS (PRD sec 6.2)'!C6</f>
        <v>4400</v>
      </c>
      <c r="C6" s="20" t="n">
        <f aca="false">'AWS (PRD sec 6.2)'!C7</f>
        <v>7900</v>
      </c>
      <c r="D6" s="15" t="n">
        <f aca="false">AVERAGE(B6:C6)</f>
        <v>6150</v>
      </c>
      <c r="E6" s="21" t="n">
        <f aca="false">'Vercel Cost Model'!C20+'Supabase Cost Model'!C20</f>
        <v>326.6805</v>
      </c>
      <c r="F6" s="21" t="n">
        <f aca="false">'Vercel Cost Model'!C21+'Supabase Cost Model'!C21</f>
        <v>980.0415</v>
      </c>
      <c r="G6" s="15" t="n">
        <f aca="false">AVERAGE(E6:F6)</f>
        <v>653.361</v>
      </c>
      <c r="H6" s="22" t="n">
        <f aca="false">D6/G6</f>
        <v>9.4128667000326</v>
      </c>
    </row>
    <row r="7" customFormat="false" ht="15" hidden="false" customHeight="false" outlineLevel="0" collapsed="false">
      <c r="A7" s="13" t="n">
        <f aca="false">'User Tiers'!D4</f>
        <v>50000</v>
      </c>
      <c r="B7" s="20" t="n">
        <f aca="false">'AWS (PRD sec 6.2)'!D6</f>
        <v>17400.84208065</v>
      </c>
      <c r="C7" s="20" t="n">
        <f aca="false">'AWS (PRD sec 6.2)'!D7</f>
        <v>29637.9671348502</v>
      </c>
      <c r="D7" s="15" t="n">
        <f aca="false">AVERAGE(B7:C7)</f>
        <v>23519.4046077501</v>
      </c>
      <c r="E7" s="21" t="n">
        <f aca="false">'Vercel Cost Model'!D20+'Supabase Cost Model'!D20</f>
        <v>657.420575168785</v>
      </c>
      <c r="F7" s="21" t="n">
        <f aca="false">'Vercel Cost Model'!D21+'Supabase Cost Model'!D21</f>
        <v>1972.26172550636</v>
      </c>
      <c r="G7" s="15" t="n">
        <f aca="false">AVERAGE(E7:F7)</f>
        <v>1314.84115033757</v>
      </c>
      <c r="H7" s="22" t="n">
        <f aca="false">D7/G7</f>
        <v>17.8876395842279</v>
      </c>
    </row>
    <row r="8" customFormat="false" ht="15" hidden="false" customHeight="false" outlineLevel="0" collapsed="false">
      <c r="A8" s="13" t="n">
        <f aca="false">'User Tiers'!E4</f>
        <v>100000</v>
      </c>
      <c r="B8" s="20" t="n">
        <f aca="false">'AWS (PRD sec 6.2)'!E6</f>
        <v>23000</v>
      </c>
      <c r="C8" s="20" t="n">
        <f aca="false">'AWS (PRD sec 6.2)'!E7</f>
        <v>39000</v>
      </c>
      <c r="D8" s="15" t="n">
        <f aca="false">AVERAGE(B8:C8)</f>
        <v>31000</v>
      </c>
      <c r="E8" s="21" t="n">
        <f aca="false">'Vercel Cost Model'!E20+'Supabase Cost Model'!E20</f>
        <v>1601.49375</v>
      </c>
      <c r="F8" s="21" t="n">
        <f aca="false">'Vercel Cost Model'!E21+'Supabase Cost Model'!E21</f>
        <v>4804.48125</v>
      </c>
      <c r="G8" s="15" t="n">
        <f aca="false">AVERAGE(E8:F8)</f>
        <v>3202.9875</v>
      </c>
      <c r="H8" s="22" t="n">
        <f aca="false">D8/G8</f>
        <v>9.67846424627009</v>
      </c>
    </row>
    <row r="9" customFormat="false" ht="15" hidden="false" customHeight="false" outlineLevel="0" collapsed="false">
      <c r="A9" s="13" t="n">
        <f aca="false">'User Tiers'!F4</f>
        <v>1000000</v>
      </c>
      <c r="B9" s="20" t="n">
        <f aca="false">'AWS (PRD sec 6.2)'!F6</f>
        <v>100000</v>
      </c>
      <c r="C9" s="20" t="n">
        <f aca="false">'AWS (PRD sec 6.2)'!F7</f>
        <v>180000</v>
      </c>
      <c r="D9" s="15" t="n">
        <f aca="false">AVERAGE(B9:C9)</f>
        <v>140000</v>
      </c>
      <c r="E9" s="21" t="n">
        <f aca="false">'Vercel Cost Model'!F20+'Supabase Cost Model'!F20</f>
        <v>34609.3575</v>
      </c>
      <c r="F9" s="21" t="n">
        <f aca="false">'Vercel Cost Model'!F21+'Supabase Cost Model'!F21</f>
        <v>103828.0725</v>
      </c>
      <c r="G9" s="15" t="n">
        <f aca="false">AVERAGE(E9:F9)</f>
        <v>69218.715</v>
      </c>
      <c r="H9" s="22" t="n">
        <f aca="false">D9/G9</f>
        <v>2.02257438613242</v>
      </c>
    </row>
    <row r="11" customFormat="false" ht="15" hidden="false" customHeight="true" outlineLevel="0" collapsed="false">
      <c r="A11" s="12" t="s">
        <v>122</v>
      </c>
      <c r="B11" s="12"/>
      <c r="C11" s="12"/>
      <c r="D11" s="12"/>
      <c r="E11" s="12"/>
      <c r="F11" s="12"/>
      <c r="G11" s="12"/>
      <c r="H11" s="12"/>
    </row>
    <row r="13" customFormat="false" ht="15" hidden="false" customHeight="false" outlineLevel="0" collapsed="false">
      <c r="A13" s="3" t="s">
        <v>123</v>
      </c>
    </row>
    <row r="14" customFormat="false" ht="109.5" hidden="false" customHeight="true" outlineLevel="0" collapsed="false">
      <c r="A14" s="12" t="s">
        <v>124</v>
      </c>
      <c r="B14" s="12"/>
      <c r="C14" s="12"/>
      <c r="D14" s="12"/>
      <c r="E14" s="12"/>
      <c r="F14" s="12"/>
      <c r="G14" s="12"/>
      <c r="H14" s="12"/>
    </row>
  </sheetData>
  <mergeCells count="2">
    <mergeCell ref="A11:H11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3" t="s">
        <v>127</v>
      </c>
    </row>
    <row r="5" customFormat="false" ht="26.85" hidden="false" customHeight="true" outlineLevel="0" collapsed="false">
      <c r="A5" s="23" t="s">
        <v>128</v>
      </c>
      <c r="B5" s="23"/>
      <c r="C5" s="23"/>
    </row>
    <row r="7" customFormat="false" ht="26.85" hidden="false" customHeight="false" outlineLevel="0" collapsed="false">
      <c r="A7" s="9" t="s">
        <v>83</v>
      </c>
      <c r="B7" s="9" t="s">
        <v>129</v>
      </c>
      <c r="C7" s="9" t="s">
        <v>130</v>
      </c>
    </row>
    <row r="8" customFormat="false" ht="60" hidden="false" customHeight="true" outlineLevel="0" collapsed="false">
      <c r="A8" s="3" t="s">
        <v>131</v>
      </c>
      <c r="B8" s="4" t="s">
        <v>132</v>
      </c>
      <c r="C8" s="24" t="s">
        <v>133</v>
      </c>
    </row>
    <row r="9" customFormat="false" ht="60" hidden="false" customHeight="true" outlineLevel="0" collapsed="false">
      <c r="A9" s="3" t="s">
        <v>134</v>
      </c>
      <c r="B9" s="4" t="s">
        <v>135</v>
      </c>
      <c r="C9" s="24" t="s">
        <v>136</v>
      </c>
    </row>
    <row r="10" customFormat="false" ht="60" hidden="false" customHeight="true" outlineLevel="0" collapsed="false">
      <c r="A10" s="3" t="s">
        <v>137</v>
      </c>
      <c r="B10" s="4" t="s">
        <v>138</v>
      </c>
      <c r="C10" s="24" t="s">
        <v>139</v>
      </c>
    </row>
    <row r="12" customFormat="false" ht="15" hidden="false" customHeight="false" outlineLevel="0" collapsed="false">
      <c r="A12" s="3" t="s">
        <v>140</v>
      </c>
    </row>
    <row r="13" customFormat="false" ht="90" hidden="false" customHeight="true" outlineLevel="0" collapsed="false">
      <c r="A13" s="23" t="s">
        <v>141</v>
      </c>
      <c r="B13" s="23"/>
      <c r="C13" s="23"/>
    </row>
  </sheetData>
  <mergeCells count="2">
    <mergeCell ref="A5:C5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2026-08-15T01:35:46Z</dcterms:created>
  <dc:creator>openpyxl</dc:creator>
  <dc:description/>
  <dc:language>en-US</dc:language>
  <cp:lastModifiedBy/>
  <dcterms:modified xsi:type="dcterms:W3CDTF">2026-08-15T01:35:46Z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