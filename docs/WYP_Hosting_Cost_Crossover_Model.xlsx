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wyp\docs\"/>
    </mc:Choice>
  </mc:AlternateContent>
  <xr:revisionPtr revIDLastSave="0" documentId="13_ncr:1_{BD8AE0E4-3B8E-45B4-B379-EC83AF7AB48D}" xr6:coauthVersionLast="47" xr6:coauthVersionMax="47" xr10:uidLastSave="{00000000-0000-0000-0000-000000000000}"/>
  <bookViews>
    <workbookView xWindow="195" yWindow="1350" windowWidth="27420" windowHeight="14130" activeTab="7" xr2:uid="{00000000-000D-0000-FFFF-FFFF00000000}"/>
  </bookViews>
  <sheets>
    <sheet name="Assumptions" sheetId="1" r:id="rId1"/>
    <sheet name="User Tiers" sheetId="2" r:id="rId2"/>
    <sheet name="Vercel Cost Model" sheetId="3" r:id="rId3"/>
    <sheet name="Supabase Cost Model" sheetId="4" r:id="rId4"/>
    <sheet name="Subscriber Revenue" sheetId="5" r:id="rId5"/>
    <sheet name="AWS (PRD sec 6.2)" sheetId="6" r:id="rId6"/>
    <sheet name="Crossover Summary" sheetId="7" r:id="rId7"/>
    <sheet name="AWS Activate Credits" sheetId="8" r:id="rId8"/>
  </sheets>
  <definedNames>
    <definedName name="conversionRate">Assumptions!$B$38</definedName>
    <definedName name="pctBuyingExtra">Assumptions!$B$37</definedName>
    <definedName name="storageBlockGB">Assumptions!$B$35</definedName>
    <definedName name="storageBlockPrice">Assumptions!$B$36</definedName>
    <definedName name="storageIncludedGB">Assumptions!$B$34</definedName>
    <definedName name="yr1Price">Assumptions!$B$32</definedName>
    <definedName name="yr2Price">Assumptions!$B$33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D9" i="7" s="1"/>
  <c r="B9" i="7"/>
  <c r="A9" i="7"/>
  <c r="D8" i="7"/>
  <c r="C8" i="7"/>
  <c r="B8" i="7"/>
  <c r="A8" i="7"/>
  <c r="A7" i="7"/>
  <c r="C6" i="7"/>
  <c r="B6" i="7"/>
  <c r="D6" i="7" s="1"/>
  <c r="A6" i="7"/>
  <c r="B5" i="7"/>
  <c r="A5" i="7"/>
  <c r="D7" i="6"/>
  <c r="C7" i="7" s="1"/>
  <c r="B7" i="6"/>
  <c r="C5" i="7" s="1"/>
  <c r="D5" i="7" s="1"/>
  <c r="D6" i="6"/>
  <c r="B7" i="7" s="1"/>
  <c r="D7" i="7" s="1"/>
  <c r="B6" i="6"/>
  <c r="F5" i="5"/>
  <c r="F6" i="5" s="1"/>
  <c r="E5" i="5"/>
  <c r="E6" i="5" s="1"/>
  <c r="D5" i="5"/>
  <c r="D6" i="5" s="1"/>
  <c r="C5" i="5"/>
  <c r="C6" i="5" s="1"/>
  <c r="B5" i="5"/>
  <c r="B6" i="5" s="1"/>
  <c r="C13" i="4"/>
  <c r="C14" i="4" s="1"/>
  <c r="D7" i="4"/>
  <c r="D8" i="4" s="1"/>
  <c r="C7" i="4"/>
  <c r="C8" i="4" s="1"/>
  <c r="B7" i="4"/>
  <c r="B11" i="4" s="1"/>
  <c r="B12" i="4" s="1"/>
  <c r="F4" i="4"/>
  <c r="F5" i="4" s="1"/>
  <c r="F6" i="4" s="1"/>
  <c r="E4" i="4"/>
  <c r="E5" i="4" s="1"/>
  <c r="E6" i="4" s="1"/>
  <c r="D4" i="4"/>
  <c r="D5" i="4" s="1"/>
  <c r="D6" i="4" s="1"/>
  <c r="C4" i="4"/>
  <c r="C5" i="4" s="1"/>
  <c r="C6" i="4" s="1"/>
  <c r="B4" i="4"/>
  <c r="B5" i="4" s="1"/>
  <c r="B6" i="4" s="1"/>
  <c r="D12" i="3"/>
  <c r="C12" i="3"/>
  <c r="B12" i="3"/>
  <c r="F11" i="3"/>
  <c r="E11" i="3"/>
  <c r="D11" i="3"/>
  <c r="C11" i="3"/>
  <c r="B11" i="3"/>
  <c r="D7" i="3"/>
  <c r="C7" i="3"/>
  <c r="B7" i="3"/>
  <c r="F5" i="3"/>
  <c r="F6" i="3" s="1"/>
  <c r="F13" i="3" s="1"/>
  <c r="F4" i="3"/>
  <c r="E4" i="3"/>
  <c r="D4" i="3"/>
  <c r="C4" i="3"/>
  <c r="B4" i="3"/>
  <c r="F10" i="2"/>
  <c r="F13" i="4" s="1"/>
  <c r="F14" i="4" s="1"/>
  <c r="E10" i="2"/>
  <c r="E13" i="4" s="1"/>
  <c r="E14" i="4" s="1"/>
  <c r="D10" i="2"/>
  <c r="D13" i="4" s="1"/>
  <c r="D14" i="4" s="1"/>
  <c r="C10" i="2"/>
  <c r="B10" i="2"/>
  <c r="B13" i="4" s="1"/>
  <c r="B14" i="4" s="1"/>
  <c r="F9" i="2"/>
  <c r="F7" i="3" s="1"/>
  <c r="F12" i="3" s="1"/>
  <c r="E9" i="2"/>
  <c r="E7" i="3" s="1"/>
  <c r="E12" i="3" s="1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F9" i="4" s="1"/>
  <c r="F10" i="4" s="1"/>
  <c r="E5" i="2"/>
  <c r="E5" i="3" s="1"/>
  <c r="D5" i="2"/>
  <c r="D5" i="3" s="1"/>
  <c r="C5" i="2"/>
  <c r="C9" i="4" s="1"/>
  <c r="C10" i="4" s="1"/>
  <c r="B5" i="2"/>
  <c r="B9" i="4" s="1"/>
  <c r="B10" i="4" s="1"/>
  <c r="D14" i="3" l="1"/>
  <c r="D6" i="3"/>
  <c r="D13" i="3" s="1"/>
  <c r="D17" i="3" s="1"/>
  <c r="D8" i="3"/>
  <c r="D15" i="3" s="1"/>
  <c r="E6" i="3"/>
  <c r="E13" i="3" s="1"/>
  <c r="E17" i="3" s="1"/>
  <c r="E14" i="3"/>
  <c r="E8" i="3"/>
  <c r="E15" i="3" s="1"/>
  <c r="B9" i="5"/>
  <c r="B8" i="5"/>
  <c r="I5" i="7"/>
  <c r="B16" i="5"/>
  <c r="B17" i="5" s="1"/>
  <c r="B10" i="5"/>
  <c r="I6" i="7"/>
  <c r="C16" i="5"/>
  <c r="C17" i="5" s="1"/>
  <c r="C9" i="5"/>
  <c r="C8" i="5"/>
  <c r="C10" i="5"/>
  <c r="D10" i="5"/>
  <c r="D16" i="5"/>
  <c r="D17" i="5" s="1"/>
  <c r="I7" i="7"/>
  <c r="D9" i="5"/>
  <c r="D8" i="5"/>
  <c r="E9" i="5"/>
  <c r="I8" i="7"/>
  <c r="E8" i="5"/>
  <c r="E10" i="5"/>
  <c r="E16" i="5"/>
  <c r="E17" i="5" s="1"/>
  <c r="F16" i="5"/>
  <c r="F17" i="5" s="1"/>
  <c r="I9" i="7"/>
  <c r="F8" i="5"/>
  <c r="F10" i="5"/>
  <c r="F9" i="5"/>
  <c r="F13" i="5" s="1"/>
  <c r="K9" i="7" s="1"/>
  <c r="F7" i="4"/>
  <c r="B8" i="4"/>
  <c r="B17" i="4" s="1"/>
  <c r="B5" i="3"/>
  <c r="C5" i="3"/>
  <c r="D9" i="4"/>
  <c r="D10" i="4" s="1"/>
  <c r="E9" i="4"/>
  <c r="E10" i="4" s="1"/>
  <c r="F8" i="3"/>
  <c r="F15" i="3" s="1"/>
  <c r="F14" i="3"/>
  <c r="F17" i="3" s="1"/>
  <c r="E7" i="4"/>
  <c r="D11" i="4"/>
  <c r="D12" i="4" s="1"/>
  <c r="D17" i="4" s="1"/>
  <c r="C11" i="4"/>
  <c r="C12" i="4" s="1"/>
  <c r="C17" i="4" s="1"/>
  <c r="C19" i="4" l="1"/>
  <c r="C21" i="4" s="1"/>
  <c r="C18" i="4"/>
  <c r="C20" i="4" s="1"/>
  <c r="E19" i="3"/>
  <c r="E21" i="3" s="1"/>
  <c r="E18" i="3"/>
  <c r="E20" i="3" s="1"/>
  <c r="D19" i="4"/>
  <c r="D21" i="4" s="1"/>
  <c r="D18" i="4"/>
  <c r="D20" i="4" s="1"/>
  <c r="D19" i="3"/>
  <c r="D21" i="3" s="1"/>
  <c r="F7" i="7" s="1"/>
  <c r="D18" i="3"/>
  <c r="D20" i="3" s="1"/>
  <c r="E7" i="7" s="1"/>
  <c r="G7" i="7" s="1"/>
  <c r="H7" i="7" s="1"/>
  <c r="F19" i="3"/>
  <c r="F21" i="3" s="1"/>
  <c r="F18" i="3"/>
  <c r="F20" i="3" s="1"/>
  <c r="B19" i="4"/>
  <c r="B21" i="4" s="1"/>
  <c r="B18" i="4"/>
  <c r="B20" i="4" s="1"/>
  <c r="C13" i="5"/>
  <c r="K6" i="7" s="1"/>
  <c r="F8" i="4"/>
  <c r="F11" i="4"/>
  <c r="F12" i="4" s="1"/>
  <c r="E8" i="4"/>
  <c r="E17" i="4" s="1"/>
  <c r="E11" i="4"/>
  <c r="E12" i="4" s="1"/>
  <c r="B12" i="5"/>
  <c r="J5" i="7" s="1"/>
  <c r="E13" i="5"/>
  <c r="K8" i="7" s="1"/>
  <c r="C12" i="5"/>
  <c r="J6" i="7" s="1"/>
  <c r="E12" i="5"/>
  <c r="J8" i="7" s="1"/>
  <c r="B13" i="5"/>
  <c r="K5" i="7" s="1"/>
  <c r="C14" i="3"/>
  <c r="C8" i="3"/>
  <c r="C15" i="3" s="1"/>
  <c r="C6" i="3"/>
  <c r="C13" i="3" s="1"/>
  <c r="C17" i="3" s="1"/>
  <c r="D12" i="5"/>
  <c r="J7" i="7" s="1"/>
  <c r="F12" i="5"/>
  <c r="J9" i="7" s="1"/>
  <c r="B8" i="3"/>
  <c r="B15" i="3" s="1"/>
  <c r="B6" i="3"/>
  <c r="B13" i="3" s="1"/>
  <c r="B14" i="3"/>
  <c r="D13" i="5"/>
  <c r="K7" i="7" s="1"/>
  <c r="L7" i="7" s="1"/>
  <c r="B17" i="3" l="1"/>
  <c r="E19" i="4"/>
  <c r="E21" i="4" s="1"/>
  <c r="E18" i="4"/>
  <c r="E20" i="4" s="1"/>
  <c r="F17" i="4"/>
  <c r="C19" i="3"/>
  <c r="C21" i="3" s="1"/>
  <c r="F6" i="7" s="1"/>
  <c r="C18" i="3"/>
  <c r="C20" i="3" s="1"/>
  <c r="E6" i="7" s="1"/>
  <c r="E8" i="7"/>
  <c r="F8" i="7"/>
  <c r="G8" i="7" l="1"/>
  <c r="F19" i="4"/>
  <c r="F21" i="4" s="1"/>
  <c r="F9" i="7" s="1"/>
  <c r="F18" i="4"/>
  <c r="F20" i="4" s="1"/>
  <c r="E9" i="7" s="1"/>
  <c r="G9" i="7" s="1"/>
  <c r="G6" i="7"/>
  <c r="B19" i="3"/>
  <c r="B21" i="3" s="1"/>
  <c r="F5" i="7" s="1"/>
  <c r="B18" i="3"/>
  <c r="B20" i="3" s="1"/>
  <c r="E5" i="7" s="1"/>
  <c r="G5" i="7" s="1"/>
  <c r="H5" i="7" l="1"/>
  <c r="L5" i="7"/>
  <c r="H6" i="7"/>
  <c r="L6" i="7"/>
  <c r="H9" i="7"/>
  <c r="L9" i="7"/>
  <c r="H8" i="7"/>
  <c r="L8" i="7"/>
</calcChain>
</file>

<file path=xl/sharedStrings.xml><?xml version="1.0" encoding="utf-8"?>
<sst xmlns="http://schemas.openxmlformats.org/spreadsheetml/2006/main" count="201" uniqueCount="169">
  <si>
    <t>Would You Please — Hosting Cost Crossover Model</t>
  </si>
  <si>
    <t>Assumptions. Blue cells are editable inputs. All dollar figures in this workbook are 2026 list prices, pre-discount.</t>
  </si>
  <si>
    <t>1. Activity assumptions — from the PRD (§6.2.1, v12.9)</t>
  </si>
  <si>
    <t>Items (Requests + ToDos) per user per day</t>
  </si>
  <si>
    <t>PRD §6.2.1 — linear across Pilot/Year 1/Long-Term (5,000/10,000 = 50,000/100,000 = 500,000/1,000,000 = 0.5)</t>
  </si>
  <si>
    <t>Dialog entries per user per day</t>
  </si>
  <si>
    <t>PRD §6.2.1 — linear across all three anchors (0.3/user/day)</t>
  </si>
  <si>
    <t>Notification emails per user per day (at or below 100,000 users)</t>
  </si>
  <si>
    <t>PRD §6.2.1 Pilot/Year 1 anchors: 10,500/10,000 = 105,000/100,000 = 1.05/user/day</t>
  </si>
  <si>
    <t>SMS per user per day (at or below 100,000 users)</t>
  </si>
  <si>
    <t>PRD §6.2.1 Pilot/Year 1 anchors: 250/10,000 = 2,500/100,000 = 0.025/user/day</t>
  </si>
  <si>
    <t>Notification emails/day at 1,000,000 users</t>
  </si>
  <si>
    <t>PRD §6.2.1 Long-Term anchor — NOT linear; PRD notes most notifications shift to mobile push after Phase 1</t>
  </si>
  <si>
    <t>SMS/day at 1,000,000 users</t>
  </si>
  <si>
    <t>PRD §6.2.1 Long-Term anchor — NOT linear; push-first at scale, and Text delivery is a paid-subscriber-only feature from v12.2</t>
  </si>
  <si>
    <t>Attachment storage per user, Pilot (GB/user)</t>
  </si>
  <si>
    <t>PRD §6.2.1: 0.5 TB / 10,000 users</t>
  </si>
  <si>
    <t>Attachment storage per user, Year 1 (GB/user)</t>
  </si>
  <si>
    <t>PRD §6.2.1: 2 TB / 100,000 users (per-user figure falls — S3 lifecycle tiering assumed)</t>
  </si>
  <si>
    <t>Attachment storage, Long-Term TOTAL (GB)</t>
  </si>
  <si>
    <t>PRD §6.2.1: midpoint of the PRD's own 20–40 TB Long-Term range</t>
  </si>
  <si>
    <t>Monthly-active share of registered users</t>
  </si>
  <si>
    <t>PRD §6.2 modeling assumption: 50–70% range; midpoint used here</t>
  </si>
  <si>
    <t>Planning-uncertainty band (± around the base estimate)</t>
  </si>
  <si>
    <t>Matches the PRD's own stated accuracy for its AWS estimate (“planning-level, roughly plus/minus 50%”) — applied symmetrically to the Vercel/Supabase side here so the two stacks are compared on the same footing</t>
  </si>
  <si>
    <t>2. Vercel technical assumptions — NOT in the PRD (the PRD modeled AWS EC2/RDS, not a serverless host). These are new planning-level estimates; replace with real figures from Vercel's own Usage dashboard once there is real traffic.</t>
  </si>
  <si>
    <t>Data transfer per Monthly Active User per month (MB)</t>
  </si>
  <si>
    <t>Planning estimate for a lean, mostly-JSON/text app — most static assets are CDN/browser-cached after first visit</t>
  </si>
  <si>
    <t>Function invocations per Item/Dialog action</t>
  </si>
  <si>
    <t>Planning estimate — create/save/list/detail round trips generated by one action</t>
  </si>
  <si>
    <t>Baseline function invocations per MAU per month</t>
  </si>
  <si>
    <t>Planning estimate — navigation, search, list refreshes not tied to a specific item</t>
  </si>
  <si>
    <t>Edge requests per function invocation</t>
  </si>
  <si>
    <t>Planning estimate — static asset + middleware requests alongside each function call</t>
  </si>
  <si>
    <t>Avg active CPU time per invocation (seconds)</t>
  </si>
  <si>
    <t>Planning estimate for a lean Node.js API route / SSR render</t>
  </si>
  <si>
    <t>Avg provisioned memory per function (GB)</t>
  </si>
  <si>
    <t>Planning estimate (512 MB functions)</t>
  </si>
  <si>
    <t>Vercel developer seats</t>
  </si>
  <si>
    <t>Solo developer today — raise if the team grows; cost is flat per seat, not per user</t>
  </si>
  <si>
    <t>3. Supabase technical assumptions — also new planning-level estimates, not in the PRD.</t>
  </si>
  <si>
    <t>Avg DB row size incl. indexes, items+dialog rows (KB)</t>
  </si>
  <si>
    <t>Planning estimate</t>
  </si>
  <si>
    <t>Per-user fixed DB overhead — profile, contacts, settings (KB)</t>
  </si>
  <si>
    <t>DB egress per MAU per month (MB)</t>
  </si>
  <si>
    <t>Planning estimate — raw query payload Supabase serves to the Vercel functions, smaller than client-facing bandwidth since it precedes JSON shaping/compression</t>
  </si>
  <si>
    <t>4. Subscriber pricing &amp; storage — Jim's revision, 2026-08-24 (supersedes the PRD's own $17.95/yr flat figure)</t>
  </si>
  <si>
    <t>Year 1 subscription price</t>
  </si>
  <si>
    <t>Jim's own figure — 25% off $23.95 is actually $17.96, a one-cent difference, not corrected here.</t>
  </si>
  <si>
    <t>Year 2+ (renewal) subscription price</t>
  </si>
  <si>
    <t>Storage included per subscriber (GB)</t>
  </si>
  <si>
    <t>Additional storage block size (GB)</t>
  </si>
  <si>
    <t>Additional storage price per block / year</t>
  </si>
  <si>
    <t>Subscribers buying additional storage</t>
  </si>
  <si>
    <t>Assumption, not confirmed by Jim — easy to change here.</t>
  </si>
  <si>
    <t>Free-to-paid conversion rate (registered users)</t>
  </si>
  <si>
    <t>Typical freemium SaaS range 2-5%; not a WYP-specific measurement — no real user base yet to measure from.</t>
  </si>
  <si>
    <t>Derived usage volumes by registered-user tier</t>
  </si>
  <si>
    <t>1,000 and 50,000 are added beyond the PRD's own three anchors (10,000 / 100,000 / 1,000,000), interpolated as noted per row.</t>
  </si>
  <si>
    <t>Metric</t>
  </si>
  <si>
    <t>1,000</t>
  </si>
  <si>
    <t>10,000 (Pilot)</t>
  </si>
  <si>
    <t>50,000</t>
  </si>
  <si>
    <t>100,000 (Year 1)</t>
  </si>
  <si>
    <t>1,000,000 (Long-Term)</t>
  </si>
  <si>
    <t>Registered users</t>
  </si>
  <si>
    <t>Items (Requests + ToDos) / day</t>
  </si>
  <si>
    <t>Dialog entries / day</t>
  </si>
  <si>
    <t>Notification emails / day</t>
  </si>
  <si>
    <t>SMS / day</t>
  </si>
  <si>
    <t>Monthly Active Users (MAU)</t>
  </si>
  <si>
    <t>Attachment/Location storage (GB)</t>
  </si>
  <si>
    <t>Row 10 (50,000-user column) interpolates the per-user storage rate on a log10(users) scale between the Pilot and Year 1 anchors — a standard technique for order-of-magnitude planning between two known points, not a PRD figure.</t>
  </si>
  <si>
    <t>Vercel cost model (Pro plan, 2026 list pricing)</t>
  </si>
  <si>
    <t>Source: vercel.com/pricing, fetched 2026-08-14. $20/mo per seat + $20 usage credit; overage billed as shown below.</t>
  </si>
  <si>
    <t>Monthly function invocations</t>
  </si>
  <si>
    <t>Monthly edge requests</t>
  </si>
  <si>
    <t>Monthly data transfer (GB)</t>
  </si>
  <si>
    <t>Monthly compute (provisioned-memory GB-hours)</t>
  </si>
  <si>
    <t>Cost components ($/month)</t>
  </si>
  <si>
    <t>Seats — $20/mo × seats</t>
  </si>
  <si>
    <t>Bandwidth overage — &gt;1,000 GB @ $0.15/GB</t>
  </si>
  <si>
    <t>Edge request overage — &gt;10M @ $2/1M</t>
  </si>
  <si>
    <t>Function invocation overage — &gt;1M @ $0.60/1M</t>
  </si>
  <si>
    <t>Compute — GB-hours @ $0.0106/GB-hr</t>
  </si>
  <si>
    <t>Vercel monthly total — base estimate</t>
  </si>
  <si>
    <t>Vercel monthly — LOW (base × (1 − uncertainty))</t>
  </si>
  <si>
    <t>Vercel monthly — HIGH (base × (1 + uncertainty))</t>
  </si>
  <si>
    <t>Vercel ANNUAL — LOW</t>
  </si>
  <si>
    <t>Vercel ANNUAL — HIGH</t>
  </si>
  <si>
    <t>Supabase cost model (Pro plan, 2026 list pricing)</t>
  </si>
  <si>
    <t>Source: supabase.com/pricing, fetched 2026-08-14. $25/mo base + compute add-on + metered overage.</t>
  </si>
  <si>
    <t>Compute tier breakpoints (edit to adjust sizing)</t>
  </si>
  <si>
    <t>Users ≥</t>
  </si>
  <si>
    <t>Tier</t>
  </si>
  <si>
    <t>$/mo</t>
  </si>
  <si>
    <t>Micro</t>
  </si>
  <si>
    <t>Compute tier price ($/mo)</t>
  </si>
  <si>
    <t>Small</t>
  </si>
  <si>
    <t>Compute — net of $10/mo credit</t>
  </si>
  <si>
    <t>Medium</t>
  </si>
  <si>
    <t>MAU</t>
  </si>
  <si>
    <t>Large</t>
  </si>
  <si>
    <t>MAU overage — &gt;100,000 @ $0.00325</t>
  </si>
  <si>
    <t>XL</t>
  </si>
  <si>
    <t>Estimated DB size (GB)</t>
  </si>
  <si>
    <t>2XL</t>
  </si>
  <si>
    <t>Disk overage — &gt;8 GB @ $0.125/GB</t>
  </si>
  <si>
    <t>DB egress (GB/month)</t>
  </si>
  <si>
    <t>Rough sizing guess, not a load test. Real compute needs depend on query patterns, not just user count.</t>
  </si>
  <si>
    <t>Egress overage — &gt;250 GB @ $0.09/GB</t>
  </si>
  <si>
    <t>File-storage overage — &gt;100 GB @ $0.0213/GB</t>
  </si>
  <si>
    <t>Supabase base plan ($/mo)</t>
  </si>
  <si>
    <t>Supabase monthly total — base estimate</t>
  </si>
  <si>
    <t>Supabase monthly — LOW</t>
  </si>
  <si>
    <t>Supabase monthly — HIGH</t>
  </si>
  <si>
    <t>Supabase ANNUAL — LOW</t>
  </si>
  <si>
    <t>Supabase ANNUAL — HIGH</t>
  </si>
  <si>
    <t>At very large scale, Supabase's Team plan ($599/mo base) adds SOC2/ISO27001 and priority SLAs that may matter for a large user base independent of the metered costs above — not included here.</t>
  </si>
  <si>
    <t>Subscriber revenue, by registered-user tier</t>
  </si>
  <si>
    <t>Subscriber count = registered users x conversion rate (Assumptions sheet). Two pricing cases shown: 'Year 1' (every subscriber just signed up, at the discounted price) and 'Renewal' (every subscriber is in a steady-state renewal year) — real revenue in any given year sits between these two bounds, same LOW/HIGH-bracket convention as the Vercel/Supabase cost sheets.</t>
  </si>
  <si>
    <t>Subscribers (registered users x conversion rate)</t>
  </si>
  <si>
    <t>Subscription revenue — Year 1 pricing</t>
  </si>
  <si>
    <t>Subscription revenue — Renewal pricing</t>
  </si>
  <si>
    <t>Additional-storage revenue (expected value)</t>
  </si>
  <si>
    <t>TOTAL revenue — Year 1 pricing case</t>
  </si>
  <si>
    <t>TOTAL revenue — Renewal pricing case</t>
  </si>
  <si>
    <t>Marginal storage cost added by 5GB-included allotment (Supabase overage, once the pooled 100GB is exceeded)</t>
  </si>
  <si>
    <t>Subscriber storage demand (GB, at 5GB included each)</t>
  </si>
  <si>
    <t>Storage overage cost/yr (subscriber demand vs. Supabase's pooled 100GB)</t>
  </si>
  <si>
    <t>AWS cost reference — from the PRD's own model</t>
  </si>
  <si>
    <t>Source: WouldYouPlease_PRD_v12_9.docx §6.2.2, “planning-level estimates, accuracy roughly plus/minus 50%, AWS us-east-1 on-demand pricing as of mid-2026, before AWS Activate credits or reserved-instance discounts.”</t>
  </si>
  <si>
    <t>AWS ANNUAL — LOW ($)</t>
  </si>
  <si>
    <t>AWS ANNUAL — HIGH ($)</t>
  </si>
  <si>
    <t>1,000-user column: AWS's architecture in the PRD is always-on EC2 + RDS + ElastiCache, sized to the Pilot's own 10,000-user ceiling — that fixed floor doesn't shrink much below 10,000 real users, unlike Vercel/Supabase's metered, scale-to-near-zero model. 50,000-user column: log-interpolated between the Pilot and Year 1 anchors — not a PRD figure.</t>
  </si>
  <si>
    <t>Crossover summary — AWS (PRD) vs. Vercel + Supabase, annual cost</t>
  </si>
  <si>
    <t>All figures annualized, list pricing, before any AWS Activate credits. See each cost-model tab for the build-up.</t>
  </si>
  <si>
    <t>AWS — LOW</t>
  </si>
  <si>
    <t>AWS — HIGH</t>
  </si>
  <si>
    <t>AWS — MID</t>
  </si>
  <si>
    <t>Vercel+Supabase — LOW</t>
  </si>
  <si>
    <t>Vercel+Supabase — HIGH</t>
  </si>
  <si>
    <t>Vercel+Supabase — MID</t>
  </si>
  <si>
    <t>AWS ÷ Vercel+Supabase (mid-point ratio)</t>
  </si>
  <si>
    <t>Subscribers (conversion rate)</t>
  </si>
  <si>
    <t>Subscription revenue — Year 1 case</t>
  </si>
  <si>
    <t>Subscription revenue — Renewal case</t>
  </si>
  <si>
    <t>Renewal revenue minus Vercel+Supabase MID cost</t>
  </si>
  <si>
    <t>Reading the ratio (col H): a value above 1.00x means the PRD's AWS estimate costs more than the Vercel+Supabase estimate at that tier; below 1.00x means AWS would be cheaper.</t>
  </si>
  <si>
    <t>Why there may be no clean single “crossover point”:</t>
  </si>
  <si>
    <t>AWS as modeled in the PRD (§8.2) is always-on EC2 + RDS + ElastiCache — cost is dominated by fixed instance sizing, so it doesn't fall much below the Pilot's own floor at low user counts, and climbs in discrete instance-size steps rather than smoothly. Vercel and Supabase are both metered — pay for requests/compute-seconds/storage actually used — so their cost scales toward zero at low usage and rises continuously with it. That's a difference in cost SHAPE, not just level: whether AWS "wins" at a given scale depends heavily on how request/compute-intensive the app actually is per user, which is the least certain input in this whole model (see the Vercel/Supabase technical assumptions — none of them come from the PRD).</t>
  </si>
  <si>
    <t>Column L reads negative at low registered-user counts because a 3% conversion rate on a small user base yields very few subscribers — e.g. only ~30 subscribers at the 1,000-registered-user tier. The infra cost itself (column G) is small in absolute terms throughout (see the Vercel/Supabase Cost Model tabs); the real breakeven question is 'how many subscribers', not 'how many registered users' — see the Breakeven note on the Subscriber Revenue tab and the new Assumptions section 4 for the conversion-rate input driving this.</t>
  </si>
  <si>
    <t>AWS Activate credits — what actually determines the amount</t>
  </si>
  <si>
    <t>Sources: aws.amazon.com/startups (fetched 2026-08-14) and third-party program-tier summaries current as of mid-2026.</t>
  </si>
  <si>
    <t>Headline</t>
  </si>
  <si>
    <t>Up to $200,000 in AWS Activate Credits, redeemable on 200+ AWS services including third-party Bedrock models; credits typically last up to 2 years.</t>
  </si>
  <si>
    <t>Typical amount</t>
  </si>
  <si>
    <t>Qualification — NOT a function of your registered-user count</t>
  </si>
  <si>
    <t>Founders (self-serve)</t>
  </si>
  <si>
    <t>$1,000–$5,000</t>
  </si>
  <si>
    <t>Any founder can self-apply directly on aws.amazon.com/startups/join. Requires: self-funded/bootstrapped, not previously affiliated with an AWS Activate Provider, and no prior AWS credits of equal or greater value. Available immediately, regardless of scale.</t>
  </si>
  <si>
    <t>Portfolio</t>
  </si>
  <si>
    <t>$25,000–$100,000</t>
  </si>
  <si>
    <t>Requires an Organization ID from an accredited AWS Activate Provider — a VC firm, accelerator, or incubator you're backed by or a member of. This is the actual gate on this tier, not usage.</t>
  </si>
  <si>
    <t>Generative AI / scale tiers</t>
  </si>
  <si>
    <t>up to $200,000+</t>
  </si>
  <si>
    <t>Tied to committed usage of AWS AI services (Bedrock, SageMaker, Trainium) — not relevant to WYP unless an AI feature is added later.</t>
  </si>
  <si>
    <t>What this means for Jim's question</t>
  </si>
  <si>
    <t>There is no published “at N registered users, you unlock $X in credits” formula — the tier gate is funding/backing status (bootstrapped vs. VC/accelerator-backed), not traffic. A working beta with real usage is a genuinely useful talking point once you're in a conversation with an AWS startup rep (it's evidence the product works and infra needs are real), and matters more for negotiated custom/Enterprise deals at real scale, but it doesn't move you between the published tiers above on its own. The Founders tier ($1K–$5K) is available today, with zero users, at zero cost to apply.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</si>
</sst>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0\x"/>
    <numFmt numFmtId="166" formatCode="\$#,##0.00;\(\$#,##0.00\);&quot;-&quot;"/>
    <numFmt numFmtId="167" formatCode="0.0%"/>
    <numFmt numFmtId="168" formatCode="\$#,##0;\(\$#,##0\);&quot;-&quot;"/>
  </numFmts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8000"/>
      <name val="Arial"/>
      <charset val="1"/>
    </font>
    <font>
      <b/>
      <sz val="11"/>
      <name val="Arial"/>
    </font>
    <font>
      <sz val="11"/>
      <color rgb="FF0000FF"/>
      <name val="Arial"/>
    </font>
    <font>
      <i/>
      <sz val="9"/>
      <color rgb="FF595959"/>
      <name val="Arial"/>
    </font>
    <font>
      <b/>
      <sz val="14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5" fillId="0" borderId="0" xfId="0" applyNumberFormat="1" applyFont="1"/>
    <xf numFmtId="0" fontId="6" fillId="0" borderId="0" xfId="0" applyFont="1"/>
    <xf numFmtId="3" fontId="5" fillId="0" borderId="0" xfId="0" applyNumberFormat="1" applyFont="1"/>
    <xf numFmtId="0" fontId="3" fillId="0" borderId="0" xfId="0" applyFont="1" applyAlignment="1">
      <alignment wrapText="1"/>
    </xf>
    <xf numFmtId="0" fontId="7" fillId="2" borderId="0" xfId="0" applyFont="1" applyFill="1" applyAlignment="1">
      <alignment horizontal="center" wrapText="1"/>
    </xf>
    <xf numFmtId="3" fontId="8" fillId="0" borderId="0" xfId="0" applyNumberFormat="1" applyFont="1"/>
    <xf numFmtId="3" fontId="0" fillId="0" borderId="0" xfId="0" applyNumberFormat="1"/>
    <xf numFmtId="3" fontId="9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/>
    <xf numFmtId="164" fontId="9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wrapText="1"/>
    </xf>
    <xf numFmtId="0" fontId="10" fillId="0" borderId="0" xfId="0" applyFont="1"/>
    <xf numFmtId="166" fontId="11" fillId="0" borderId="0" xfId="0" applyNumberFormat="1" applyFont="1"/>
    <xf numFmtId="0" fontId="12" fillId="0" borderId="0" xfId="0" applyFont="1"/>
    <xf numFmtId="3" fontId="11" fillId="0" borderId="0" xfId="0" applyNumberFormat="1" applyFont="1"/>
    <xf numFmtId="167" fontId="11" fillId="0" borderId="0" xfId="0" applyNumberFormat="1" applyFont="1"/>
    <xf numFmtId="0" fontId="13" fillId="0" borderId="0" xfId="0" applyFont="1"/>
    <xf numFmtId="0" fontId="14" fillId="3" borderId="0" xfId="0" applyFont="1" applyFill="1" applyAlignment="1">
      <alignment horizontal="center" wrapText="1"/>
    </xf>
    <xf numFmtId="168" fontId="0" fillId="0" borderId="0" xfId="0" applyNumberFormat="1"/>
    <xf numFmtId="0" fontId="6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12" fillId="0" borderId="0" xfId="0" applyFont="1"/>
    <xf numFmtId="0" fontId="12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zoomScaleNormal="100" workbookViewId="0">
      <pane ySplit="3" topLeftCell="A29" activePane="bottomLeft" state="frozen"/>
      <selection pane="bottomLeft" activeCell="A2" sqref="A2"/>
    </sheetView>
  </sheetViews>
  <sheetFormatPr defaultColWidth="8.7109375" defaultRowHeight="15" x14ac:dyDescent="0.25"/>
  <cols>
    <col min="1" max="1" width="58" customWidth="1"/>
    <col min="2" max="2" width="12" customWidth="1"/>
    <col min="3" max="3" width="70" customWidth="1"/>
  </cols>
  <sheetData>
    <row r="1" spans="1:3" ht="17.45" customHeight="1" x14ac:dyDescent="0.25">
      <c r="A1" s="1" t="s">
        <v>0</v>
      </c>
    </row>
    <row r="2" spans="1:3" ht="15" customHeight="1" x14ac:dyDescent="0.25">
      <c r="A2" s="2" t="s">
        <v>1</v>
      </c>
    </row>
    <row r="4" spans="1:3" ht="15" customHeight="1" x14ac:dyDescent="0.25">
      <c r="A4" s="3" t="s">
        <v>2</v>
      </c>
    </row>
    <row r="5" spans="1:3" ht="15" customHeight="1" x14ac:dyDescent="0.25">
      <c r="A5" s="4" t="s">
        <v>3</v>
      </c>
      <c r="B5" s="5">
        <v>0.5</v>
      </c>
      <c r="C5" s="6" t="s">
        <v>4</v>
      </c>
    </row>
    <row r="6" spans="1:3" ht="15" customHeight="1" x14ac:dyDescent="0.25">
      <c r="A6" s="4" t="s">
        <v>5</v>
      </c>
      <c r="B6" s="5">
        <v>0.3</v>
      </c>
      <c r="C6" s="6" t="s">
        <v>6</v>
      </c>
    </row>
    <row r="7" spans="1:3" ht="15" customHeight="1" x14ac:dyDescent="0.25">
      <c r="A7" s="4" t="s">
        <v>7</v>
      </c>
      <c r="B7" s="7">
        <v>1.05</v>
      </c>
      <c r="C7" s="6" t="s">
        <v>8</v>
      </c>
    </row>
    <row r="8" spans="1:3" ht="15" customHeight="1" x14ac:dyDescent="0.25">
      <c r="A8" s="4" t="s">
        <v>9</v>
      </c>
      <c r="B8" s="5">
        <v>2.5000000000000001E-2</v>
      </c>
      <c r="C8" s="6" t="s">
        <v>10</v>
      </c>
    </row>
    <row r="9" spans="1:3" ht="15" customHeight="1" x14ac:dyDescent="0.25">
      <c r="A9" s="4" t="s">
        <v>11</v>
      </c>
      <c r="B9" s="7">
        <v>260000</v>
      </c>
      <c r="C9" s="6" t="s">
        <v>12</v>
      </c>
    </row>
    <row r="10" spans="1:3" ht="15" customHeight="1" x14ac:dyDescent="0.25">
      <c r="A10" s="4" t="s">
        <v>13</v>
      </c>
      <c r="B10" s="7">
        <v>5000</v>
      </c>
      <c r="C10" s="6" t="s">
        <v>14</v>
      </c>
    </row>
    <row r="11" spans="1:3" ht="15" customHeight="1" x14ac:dyDescent="0.25">
      <c r="A11" s="4" t="s">
        <v>15</v>
      </c>
      <c r="B11" s="5">
        <v>0.05</v>
      </c>
      <c r="C11" s="6" t="s">
        <v>16</v>
      </c>
    </row>
    <row r="12" spans="1:3" ht="15" customHeight="1" x14ac:dyDescent="0.25">
      <c r="A12" s="4" t="s">
        <v>17</v>
      </c>
      <c r="B12" s="5">
        <v>0.02</v>
      </c>
      <c r="C12" s="6" t="s">
        <v>18</v>
      </c>
    </row>
    <row r="13" spans="1:3" ht="15" customHeight="1" x14ac:dyDescent="0.25">
      <c r="A13" s="4" t="s">
        <v>19</v>
      </c>
      <c r="B13" s="7">
        <v>30000</v>
      </c>
      <c r="C13" s="6" t="s">
        <v>20</v>
      </c>
    </row>
    <row r="14" spans="1:3" ht="15" customHeight="1" x14ac:dyDescent="0.25">
      <c r="A14" s="4" t="s">
        <v>21</v>
      </c>
      <c r="B14" s="5">
        <v>0.6</v>
      </c>
      <c r="C14" s="6" t="s">
        <v>22</v>
      </c>
    </row>
    <row r="15" spans="1:3" ht="15" customHeight="1" x14ac:dyDescent="0.25">
      <c r="A15" s="4" t="s">
        <v>23</v>
      </c>
      <c r="B15" s="5">
        <v>0.5</v>
      </c>
      <c r="C15" s="6" t="s">
        <v>24</v>
      </c>
    </row>
    <row r="17" spans="1:3" ht="80.25" customHeight="1" x14ac:dyDescent="0.25">
      <c r="A17" s="8" t="s">
        <v>25</v>
      </c>
    </row>
    <row r="18" spans="1:3" ht="15" customHeight="1" x14ac:dyDescent="0.25">
      <c r="A18" s="4" t="s">
        <v>26</v>
      </c>
      <c r="B18" s="7">
        <v>20</v>
      </c>
      <c r="C18" s="6" t="s">
        <v>27</v>
      </c>
    </row>
    <row r="19" spans="1:3" ht="15" customHeight="1" x14ac:dyDescent="0.25">
      <c r="A19" s="4" t="s">
        <v>28</v>
      </c>
      <c r="B19" s="7">
        <v>4</v>
      </c>
      <c r="C19" s="6" t="s">
        <v>29</v>
      </c>
    </row>
    <row r="20" spans="1:3" ht="15" customHeight="1" x14ac:dyDescent="0.25">
      <c r="A20" s="4" t="s">
        <v>30</v>
      </c>
      <c r="B20" s="7">
        <v>150</v>
      </c>
      <c r="C20" s="6" t="s">
        <v>31</v>
      </c>
    </row>
    <row r="21" spans="1:3" ht="15" customHeight="1" x14ac:dyDescent="0.25">
      <c r="A21" s="4" t="s">
        <v>32</v>
      </c>
      <c r="B21" s="7">
        <v>2</v>
      </c>
      <c r="C21" s="6" t="s">
        <v>33</v>
      </c>
    </row>
    <row r="22" spans="1:3" ht="15" customHeight="1" x14ac:dyDescent="0.25">
      <c r="A22" s="4" t="s">
        <v>34</v>
      </c>
      <c r="B22" s="5">
        <v>0.15</v>
      </c>
      <c r="C22" s="6" t="s">
        <v>35</v>
      </c>
    </row>
    <row r="23" spans="1:3" ht="15" customHeight="1" x14ac:dyDescent="0.25">
      <c r="A23" s="4" t="s">
        <v>36</v>
      </c>
      <c r="B23" s="5">
        <v>0.5</v>
      </c>
      <c r="C23" s="6" t="s">
        <v>37</v>
      </c>
    </row>
    <row r="24" spans="1:3" ht="15" customHeight="1" x14ac:dyDescent="0.25">
      <c r="A24" s="4" t="s">
        <v>38</v>
      </c>
      <c r="B24" s="7">
        <v>1</v>
      </c>
      <c r="C24" s="6" t="s">
        <v>39</v>
      </c>
    </row>
    <row r="26" spans="1:3" ht="15" customHeight="1" x14ac:dyDescent="0.25">
      <c r="A26" s="3" t="s">
        <v>40</v>
      </c>
    </row>
    <row r="27" spans="1:3" ht="15" customHeight="1" x14ac:dyDescent="0.25">
      <c r="A27" s="4" t="s">
        <v>41</v>
      </c>
      <c r="B27" s="7">
        <v>2</v>
      </c>
      <c r="C27" s="6" t="s">
        <v>42</v>
      </c>
    </row>
    <row r="28" spans="1:3" ht="15" customHeight="1" x14ac:dyDescent="0.25">
      <c r="A28" s="4" t="s">
        <v>43</v>
      </c>
      <c r="B28" s="7">
        <v>5</v>
      </c>
      <c r="C28" s="6" t="s">
        <v>42</v>
      </c>
    </row>
    <row r="29" spans="1:3" ht="15" customHeight="1" x14ac:dyDescent="0.25">
      <c r="A29" s="4" t="s">
        <v>44</v>
      </c>
      <c r="B29" s="7">
        <v>10</v>
      </c>
      <c r="C29" s="6" t="s">
        <v>45</v>
      </c>
    </row>
    <row r="31" spans="1:3" x14ac:dyDescent="0.25">
      <c r="A31" s="22" t="s">
        <v>46</v>
      </c>
    </row>
    <row r="32" spans="1:3" x14ac:dyDescent="0.25">
      <c r="A32" t="s">
        <v>47</v>
      </c>
      <c r="B32" s="23">
        <v>17.95</v>
      </c>
      <c r="C32" s="24" t="s">
        <v>48</v>
      </c>
    </row>
    <row r="33" spans="1:3" x14ac:dyDescent="0.25">
      <c r="A33" t="s">
        <v>49</v>
      </c>
      <c r="B33" s="23">
        <v>23.95</v>
      </c>
    </row>
    <row r="34" spans="1:3" x14ac:dyDescent="0.25">
      <c r="A34" t="s">
        <v>50</v>
      </c>
      <c r="B34" s="25">
        <v>5</v>
      </c>
    </row>
    <row r="35" spans="1:3" x14ac:dyDescent="0.25">
      <c r="A35" t="s">
        <v>51</v>
      </c>
      <c r="B35" s="25">
        <v>5</v>
      </c>
    </row>
    <row r="36" spans="1:3" x14ac:dyDescent="0.25">
      <c r="A36" t="s">
        <v>52</v>
      </c>
      <c r="B36" s="23">
        <v>10</v>
      </c>
    </row>
    <row r="37" spans="1:3" x14ac:dyDescent="0.25">
      <c r="A37" t="s">
        <v>53</v>
      </c>
      <c r="B37" s="26">
        <v>0.05</v>
      </c>
      <c r="C37" s="24" t="s">
        <v>54</v>
      </c>
    </row>
    <row r="38" spans="1:3" x14ac:dyDescent="0.25">
      <c r="A38" t="s">
        <v>55</v>
      </c>
      <c r="B38" s="26">
        <v>0.03</v>
      </c>
      <c r="C38" s="24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selection activeCell="F10" sqref="F10"/>
    </sheetView>
  </sheetViews>
  <sheetFormatPr defaultColWidth="8.7109375" defaultRowHeight="15" x14ac:dyDescent="0.25"/>
  <cols>
    <col min="1" max="1" width="40" customWidth="1"/>
    <col min="2" max="6" width="14" customWidth="1"/>
  </cols>
  <sheetData>
    <row r="1" spans="1:6" ht="17.45" customHeight="1" x14ac:dyDescent="0.25">
      <c r="A1" s="1" t="s">
        <v>57</v>
      </c>
    </row>
    <row r="2" spans="1:6" ht="15" customHeight="1" x14ac:dyDescent="0.25">
      <c r="A2" s="2" t="s">
        <v>58</v>
      </c>
    </row>
    <row r="3" spans="1:6" ht="30" customHeight="1" x14ac:dyDescent="0.2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 spans="1:6" ht="15" customHeight="1" x14ac:dyDescent="0.25">
      <c r="A4" t="s">
        <v>65</v>
      </c>
      <c r="B4" s="10">
        <v>1000</v>
      </c>
      <c r="C4" s="10">
        <v>10000</v>
      </c>
      <c r="D4" s="10">
        <v>50000</v>
      </c>
      <c r="E4" s="10">
        <v>100000</v>
      </c>
      <c r="F4" s="10">
        <v>1000000</v>
      </c>
    </row>
    <row r="5" spans="1:6" ht="15" customHeight="1" x14ac:dyDescent="0.25">
      <c r="A5" t="s">
        <v>66</v>
      </c>
      <c r="B5" s="11">
        <f>B4*Assumptions!$B$5</f>
        <v>500</v>
      </c>
      <c r="C5" s="11">
        <f>C4*Assumptions!$B$5</f>
        <v>5000</v>
      </c>
      <c r="D5" s="11">
        <f>D4*Assumptions!$B$5</f>
        <v>25000</v>
      </c>
      <c r="E5" s="11">
        <f>E4*Assumptions!$B$5</f>
        <v>50000</v>
      </c>
      <c r="F5" s="11">
        <f>F4*Assumptions!$B$5</f>
        <v>500000</v>
      </c>
    </row>
    <row r="6" spans="1:6" ht="15" customHeight="1" x14ac:dyDescent="0.25">
      <c r="A6" t="s">
        <v>67</v>
      </c>
      <c r="B6" s="11">
        <f>B4*Assumptions!$B$6</f>
        <v>300</v>
      </c>
      <c r="C6" s="11">
        <f>C4*Assumptions!$B$6</f>
        <v>3000</v>
      </c>
      <c r="D6" s="11">
        <f>D4*Assumptions!$B$6</f>
        <v>15000</v>
      </c>
      <c r="E6" s="11">
        <f>E4*Assumptions!$B$6</f>
        <v>30000</v>
      </c>
      <c r="F6" s="11">
        <f>F4*Assumptions!$B$6</f>
        <v>300000</v>
      </c>
    </row>
    <row r="7" spans="1:6" ht="15" customHeight="1" x14ac:dyDescent="0.25">
      <c r="A7" t="s">
        <v>68</v>
      </c>
      <c r="B7" s="11">
        <f>B4*Assumptions!$B$7</f>
        <v>1050</v>
      </c>
      <c r="C7" s="11">
        <f>C4*Assumptions!$B$7</f>
        <v>10500</v>
      </c>
      <c r="D7" s="11">
        <f>D4*Assumptions!$B$7</f>
        <v>52500</v>
      </c>
      <c r="E7" s="11">
        <f>E4*Assumptions!$B$7</f>
        <v>105000</v>
      </c>
      <c r="F7" s="11">
        <f>Assumptions!$B$9</f>
        <v>260000</v>
      </c>
    </row>
    <row r="8" spans="1:6" ht="15" customHeight="1" x14ac:dyDescent="0.25">
      <c r="A8" t="s">
        <v>69</v>
      </c>
      <c r="B8" s="11">
        <f>B4*Assumptions!$B$8</f>
        <v>25</v>
      </c>
      <c r="C8" s="11">
        <f>C4*Assumptions!$B$8</f>
        <v>250</v>
      </c>
      <c r="D8" s="11">
        <f>D4*Assumptions!$B$8</f>
        <v>1250</v>
      </c>
      <c r="E8" s="11">
        <f>E4*Assumptions!$B$8</f>
        <v>2500</v>
      </c>
      <c r="F8" s="11">
        <f>Assumptions!$B$10</f>
        <v>5000</v>
      </c>
    </row>
    <row r="9" spans="1:6" ht="15" customHeight="1" x14ac:dyDescent="0.25">
      <c r="A9" t="s">
        <v>70</v>
      </c>
      <c r="B9" s="11">
        <f>B4*Assumptions!$B$14</f>
        <v>600</v>
      </c>
      <c r="C9" s="11">
        <f>C4*Assumptions!$B$14</f>
        <v>6000</v>
      </c>
      <c r="D9" s="11">
        <f>D4*Assumptions!$B$14</f>
        <v>30000</v>
      </c>
      <c r="E9" s="11">
        <f>E4*Assumptions!$B$14</f>
        <v>60000</v>
      </c>
      <c r="F9" s="11">
        <f>F4*Assumptions!$B$14</f>
        <v>600000</v>
      </c>
    </row>
    <row r="10" spans="1:6" ht="15" customHeight="1" x14ac:dyDescent="0.25">
      <c r="A10" t="s">
        <v>71</v>
      </c>
      <c r="B10" s="11">
        <f>B4*Assumptions!$B$11</f>
        <v>50</v>
      </c>
      <c r="C10" s="11">
        <f>C4*Assumptions!$B$11</f>
        <v>500</v>
      </c>
      <c r="D10" s="11">
        <f>D4*(Assumptions!$B$11+(Assumptions!$B$12-Assumptions!$B$11)*(LOG10(D4)-LOG10(C4))/(LOG10(E4)-LOG10(C4)))</f>
        <v>1451.5449934959718</v>
      </c>
      <c r="E10" s="11">
        <f>E4*Assumptions!$B$12</f>
        <v>2000</v>
      </c>
      <c r="F10" s="11">
        <f>Assumptions!$B$13</f>
        <v>30000</v>
      </c>
    </row>
    <row r="12" spans="1:6" ht="27" customHeight="1" x14ac:dyDescent="0.25">
      <c r="A12" s="30" t="s">
        <v>72</v>
      </c>
      <c r="B12" s="31"/>
      <c r="C12" s="31"/>
      <c r="D12" s="31"/>
      <c r="E12" s="31"/>
      <c r="F12" s="31"/>
    </row>
  </sheetData>
  <mergeCells count="1"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/>
  </sheetViews>
  <sheetFormatPr defaultColWidth="8.7109375" defaultRowHeight="15" x14ac:dyDescent="0.25"/>
  <cols>
    <col min="1" max="1" width="40" customWidth="1"/>
    <col min="2" max="6" width="14" customWidth="1"/>
  </cols>
  <sheetData>
    <row r="1" spans="1:6" ht="17.45" customHeight="1" x14ac:dyDescent="0.25">
      <c r="A1" s="1" t="s">
        <v>73</v>
      </c>
    </row>
    <row r="2" spans="1:6" ht="15" customHeight="1" x14ac:dyDescent="0.25">
      <c r="A2" s="2" t="s">
        <v>74</v>
      </c>
    </row>
    <row r="3" spans="1:6" ht="30" customHeight="1" x14ac:dyDescent="0.2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 spans="1:6" ht="15" customHeight="1" x14ac:dyDescent="0.25">
      <c r="A4" t="s">
        <v>65</v>
      </c>
      <c r="B4" s="12">
        <f>'User Tiers'!B4</f>
        <v>1000</v>
      </c>
      <c r="C4" s="12">
        <f>'User Tiers'!C4</f>
        <v>10000</v>
      </c>
      <c r="D4" s="12">
        <f>'User Tiers'!D4</f>
        <v>50000</v>
      </c>
      <c r="E4" s="12">
        <f>'User Tiers'!E4</f>
        <v>100000</v>
      </c>
      <c r="F4" s="12">
        <f>'User Tiers'!F4</f>
        <v>1000000</v>
      </c>
    </row>
    <row r="5" spans="1:6" ht="15" customHeight="1" x14ac:dyDescent="0.25">
      <c r="A5" t="s">
        <v>75</v>
      </c>
      <c r="B5" s="11">
        <f>(('User Tiers'!B$5+'User Tiers'!B$6)*30*Assumptions!$B$19)+('User Tiers'!B$9*Assumptions!$B$20)</f>
        <v>186000</v>
      </c>
      <c r="C5" s="11">
        <f>(('User Tiers'!C$5+'User Tiers'!C$6)*30*Assumptions!$B$19)+('User Tiers'!C$9*Assumptions!$B$20)</f>
        <v>1860000</v>
      </c>
      <c r="D5" s="11">
        <f>(('User Tiers'!D$5+'User Tiers'!D$6)*30*Assumptions!$B$19)+('User Tiers'!D$9*Assumptions!$B$20)</f>
        <v>9300000</v>
      </c>
      <c r="E5" s="11">
        <f>(('User Tiers'!E$5+'User Tiers'!E$6)*30*Assumptions!$B$19)+('User Tiers'!E$9*Assumptions!$B$20)</f>
        <v>18600000</v>
      </c>
      <c r="F5" s="11">
        <f>(('User Tiers'!F$5+'User Tiers'!F$6)*30*Assumptions!$B$19)+('User Tiers'!F$9*Assumptions!$B$20)</f>
        <v>186000000</v>
      </c>
    </row>
    <row r="6" spans="1:6" ht="15" customHeight="1" x14ac:dyDescent="0.25">
      <c r="A6" t="s">
        <v>76</v>
      </c>
      <c r="B6" s="11">
        <f>B5*Assumptions!$B$21</f>
        <v>372000</v>
      </c>
      <c r="C6" s="11">
        <f>C5*Assumptions!$B$21</f>
        <v>3720000</v>
      </c>
      <c r="D6" s="11">
        <f>D5*Assumptions!$B$21</f>
        <v>18600000</v>
      </c>
      <c r="E6" s="11">
        <f>E5*Assumptions!$B$21</f>
        <v>37200000</v>
      </c>
      <c r="F6" s="11">
        <f>F5*Assumptions!$B$21</f>
        <v>372000000</v>
      </c>
    </row>
    <row r="7" spans="1:6" ht="15" customHeight="1" x14ac:dyDescent="0.25">
      <c r="A7" t="s">
        <v>77</v>
      </c>
      <c r="B7" s="11">
        <f>('User Tiers'!B$9*Assumptions!$B$18)/1024</f>
        <v>11.71875</v>
      </c>
      <c r="C7" s="11">
        <f>('User Tiers'!C$9*Assumptions!$B$18)/1024</f>
        <v>117.1875</v>
      </c>
      <c r="D7" s="11">
        <f>('User Tiers'!D$9*Assumptions!$B$18)/1024</f>
        <v>585.9375</v>
      </c>
      <c r="E7" s="11">
        <f>('User Tiers'!E$9*Assumptions!$B$18)/1024</f>
        <v>1171.875</v>
      </c>
      <c r="F7" s="11">
        <f>('User Tiers'!F$9*Assumptions!$B$18)/1024</f>
        <v>11718.75</v>
      </c>
    </row>
    <row r="8" spans="1:6" ht="15" customHeight="1" x14ac:dyDescent="0.25">
      <c r="A8" t="s">
        <v>78</v>
      </c>
      <c r="B8" s="11">
        <f>B5*Assumptions!$B$22*Assumptions!$B$23/3600</f>
        <v>3.875</v>
      </c>
      <c r="C8" s="11">
        <f>C5*Assumptions!$B$22*Assumptions!$B$23/3600</f>
        <v>38.75</v>
      </c>
      <c r="D8" s="11">
        <f>D5*Assumptions!$B$22*Assumptions!$B$23/3600</f>
        <v>193.75</v>
      </c>
      <c r="E8" s="11">
        <f>E5*Assumptions!$B$22*Assumptions!$B$23/3600</f>
        <v>387.5</v>
      </c>
      <c r="F8" s="11">
        <f>F5*Assumptions!$B$22*Assumptions!$B$23/3600</f>
        <v>3875</v>
      </c>
    </row>
    <row r="10" spans="1:6" ht="15" customHeight="1" x14ac:dyDescent="0.25">
      <c r="A10" s="3" t="s">
        <v>79</v>
      </c>
    </row>
    <row r="11" spans="1:6" ht="15" customHeight="1" x14ac:dyDescent="0.25">
      <c r="A11" t="s">
        <v>80</v>
      </c>
      <c r="B11" s="13">
        <f>Assumptions!$B$24*20</f>
        <v>20</v>
      </c>
      <c r="C11" s="13">
        <f>Assumptions!$B$24*20</f>
        <v>20</v>
      </c>
      <c r="D11" s="13">
        <f>Assumptions!$B$24*20</f>
        <v>20</v>
      </c>
      <c r="E11" s="13">
        <f>Assumptions!$B$24*20</f>
        <v>20</v>
      </c>
      <c r="F11" s="13">
        <f>Assumptions!$B$24*20</f>
        <v>20</v>
      </c>
    </row>
    <row r="12" spans="1:6" ht="15" customHeight="1" x14ac:dyDescent="0.25">
      <c r="A12" t="s">
        <v>81</v>
      </c>
      <c r="B12" s="13">
        <f>MAX(0,B7-1000)*0.15</f>
        <v>0</v>
      </c>
      <c r="C12" s="13">
        <f>MAX(0,C7-1000)*0.15</f>
        <v>0</v>
      </c>
      <c r="D12" s="13">
        <f>MAX(0,D7-1000)*0.15</f>
        <v>0</v>
      </c>
      <c r="E12" s="13">
        <f>MAX(0,E7-1000)*0.15</f>
        <v>25.78125</v>
      </c>
      <c r="F12" s="13">
        <f>MAX(0,F7-1000)*0.15</f>
        <v>1607.8125</v>
      </c>
    </row>
    <row r="13" spans="1:6" ht="15" customHeight="1" x14ac:dyDescent="0.25">
      <c r="A13" t="s">
        <v>82</v>
      </c>
      <c r="B13" s="13">
        <f>MAX(0,B6-10000000)/1000000*2</f>
        <v>0</v>
      </c>
      <c r="C13" s="13">
        <f>MAX(0,C6-10000000)/1000000*2</f>
        <v>0</v>
      </c>
      <c r="D13" s="13">
        <f>MAX(0,D6-10000000)/1000000*2</f>
        <v>17.2</v>
      </c>
      <c r="E13" s="13">
        <f>MAX(0,E6-10000000)/1000000*2</f>
        <v>54.4</v>
      </c>
      <c r="F13" s="13">
        <f>MAX(0,F6-10000000)/1000000*2</f>
        <v>724</v>
      </c>
    </row>
    <row r="14" spans="1:6" ht="15" customHeight="1" x14ac:dyDescent="0.25">
      <c r="A14" t="s">
        <v>83</v>
      </c>
      <c r="B14" s="13">
        <f>MAX(0,B5-1000000)/1000000*0.6</f>
        <v>0</v>
      </c>
      <c r="C14" s="13">
        <f>MAX(0,C5-1000000)/1000000*0.6</f>
        <v>0.51600000000000001</v>
      </c>
      <c r="D14" s="13">
        <f>MAX(0,D5-1000000)/1000000*0.6</f>
        <v>4.9800000000000004</v>
      </c>
      <c r="E14" s="13">
        <f>MAX(0,E5-1000000)/1000000*0.6</f>
        <v>10.56</v>
      </c>
      <c r="F14" s="13">
        <f>MAX(0,F5-1000000)/1000000*0.6</f>
        <v>111</v>
      </c>
    </row>
    <row r="15" spans="1:6" ht="15" customHeight="1" x14ac:dyDescent="0.25">
      <c r="A15" t="s">
        <v>84</v>
      </c>
      <c r="B15" s="13">
        <f>B8*0.0106</f>
        <v>4.1075E-2</v>
      </c>
      <c r="C15" s="13">
        <f>C8*0.0106</f>
        <v>0.41075</v>
      </c>
      <c r="D15" s="13">
        <f>D8*0.0106</f>
        <v>2.05375</v>
      </c>
      <c r="E15" s="13">
        <f>E8*0.0106</f>
        <v>4.1074999999999999</v>
      </c>
      <c r="F15" s="13">
        <f>F8*0.0106</f>
        <v>41.075000000000003</v>
      </c>
    </row>
    <row r="17" spans="1:6" ht="15" customHeight="1" x14ac:dyDescent="0.25">
      <c r="A17" s="3" t="s">
        <v>85</v>
      </c>
      <c r="B17" s="14">
        <f>SUM(B11:B15)</f>
        <v>20.041074999999999</v>
      </c>
      <c r="C17" s="14">
        <f>SUM(C11:C15)</f>
        <v>20.926749999999998</v>
      </c>
      <c r="D17" s="14">
        <f>SUM(D11:D15)</f>
        <v>44.233750000000008</v>
      </c>
      <c r="E17" s="14">
        <f>SUM(E11:E15)</f>
        <v>114.84875000000001</v>
      </c>
      <c r="F17" s="14">
        <f>SUM(F11:F15)</f>
        <v>2503.8874999999998</v>
      </c>
    </row>
    <row r="18" spans="1:6" ht="15" customHeight="1" x14ac:dyDescent="0.25">
      <c r="A18" t="s">
        <v>86</v>
      </c>
      <c r="B18" s="13">
        <f>B17*(1-Assumptions!$B$15)</f>
        <v>10.0205375</v>
      </c>
      <c r="C18" s="13">
        <f>C17*(1-Assumptions!$B$15)</f>
        <v>10.463374999999999</v>
      </c>
      <c r="D18" s="13">
        <f>D17*(1-Assumptions!$B$15)</f>
        <v>22.116875000000004</v>
      </c>
      <c r="E18" s="13">
        <f>E17*(1-Assumptions!$B$15)</f>
        <v>57.424375000000005</v>
      </c>
      <c r="F18" s="13">
        <f>F17*(1-Assumptions!$B$15)</f>
        <v>1251.9437499999999</v>
      </c>
    </row>
    <row r="19" spans="1:6" ht="15" customHeight="1" x14ac:dyDescent="0.25">
      <c r="A19" t="s">
        <v>87</v>
      </c>
      <c r="B19" s="13">
        <f>B17*(1+Assumptions!$B$15)</f>
        <v>30.061612499999999</v>
      </c>
      <c r="C19" s="13">
        <f>C17*(1+Assumptions!$B$15)</f>
        <v>31.390124999999998</v>
      </c>
      <c r="D19" s="13">
        <f>D17*(1+Assumptions!$B$15)</f>
        <v>66.350625000000008</v>
      </c>
      <c r="E19" s="13">
        <f>E17*(1+Assumptions!$B$15)</f>
        <v>172.27312500000002</v>
      </c>
      <c r="F19" s="13">
        <f>F17*(1+Assumptions!$B$15)</f>
        <v>3755.8312499999997</v>
      </c>
    </row>
    <row r="20" spans="1:6" ht="15" customHeight="1" x14ac:dyDescent="0.25">
      <c r="A20" s="3" t="s">
        <v>88</v>
      </c>
      <c r="B20" s="14">
        <f t="shared" ref="B20:F21" si="0">B18*12</f>
        <v>120.24645</v>
      </c>
      <c r="C20" s="14">
        <f t="shared" si="0"/>
        <v>125.56049999999999</v>
      </c>
      <c r="D20" s="14">
        <f t="shared" si="0"/>
        <v>265.40250000000003</v>
      </c>
      <c r="E20" s="14">
        <f t="shared" si="0"/>
        <v>689.09250000000009</v>
      </c>
      <c r="F20" s="14">
        <f t="shared" si="0"/>
        <v>15023.324999999999</v>
      </c>
    </row>
    <row r="21" spans="1:6" ht="15" customHeight="1" x14ac:dyDescent="0.25">
      <c r="A21" s="3" t="s">
        <v>89</v>
      </c>
      <c r="B21" s="14">
        <f t="shared" si="0"/>
        <v>360.73935</v>
      </c>
      <c r="C21" s="14">
        <f t="shared" si="0"/>
        <v>376.68149999999997</v>
      </c>
      <c r="D21" s="14">
        <f t="shared" si="0"/>
        <v>796.2075000000001</v>
      </c>
      <c r="E21" s="14">
        <f t="shared" si="0"/>
        <v>2067.2775000000001</v>
      </c>
      <c r="F21" s="14">
        <f t="shared" si="0"/>
        <v>45069.974999999999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zoomScaleNormal="100" workbookViewId="0">
      <selection activeCell="H25" sqref="H25"/>
    </sheetView>
  </sheetViews>
  <sheetFormatPr defaultColWidth="8.7109375" defaultRowHeight="15" x14ac:dyDescent="0.25"/>
  <cols>
    <col min="1" max="1" width="40" customWidth="1"/>
    <col min="2" max="6" width="14" customWidth="1"/>
    <col min="7" max="7" width="4" customWidth="1"/>
    <col min="8" max="8" width="14" customWidth="1"/>
    <col min="9" max="10" width="10" customWidth="1"/>
  </cols>
  <sheetData>
    <row r="1" spans="1:10" ht="17.45" customHeight="1" x14ac:dyDescent="0.25">
      <c r="A1" s="1" t="s">
        <v>90</v>
      </c>
    </row>
    <row r="2" spans="1:10" ht="15" customHeight="1" x14ac:dyDescent="0.25">
      <c r="A2" s="2" t="s">
        <v>91</v>
      </c>
      <c r="H2" s="32" t="s">
        <v>92</v>
      </c>
      <c r="I2" s="31"/>
      <c r="J2" s="31"/>
    </row>
    <row r="3" spans="1:10" ht="30" customHeight="1" x14ac:dyDescent="0.2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H3" s="3" t="s">
        <v>93</v>
      </c>
      <c r="I3" s="3" t="s">
        <v>94</v>
      </c>
      <c r="J3" s="3" t="s">
        <v>95</v>
      </c>
    </row>
    <row r="4" spans="1:10" ht="15" customHeight="1" x14ac:dyDescent="0.25">
      <c r="A4" t="s">
        <v>65</v>
      </c>
      <c r="B4" s="12">
        <f>'User Tiers'!B4</f>
        <v>1000</v>
      </c>
      <c r="C4" s="12">
        <f>'User Tiers'!C4</f>
        <v>10000</v>
      </c>
      <c r="D4" s="12">
        <f>'User Tiers'!D4</f>
        <v>50000</v>
      </c>
      <c r="E4" s="12">
        <f>'User Tiers'!E4</f>
        <v>100000</v>
      </c>
      <c r="F4" s="12">
        <f>'User Tiers'!F4</f>
        <v>1000000</v>
      </c>
      <c r="H4" s="7">
        <v>0</v>
      </c>
      <c r="I4" s="15" t="s">
        <v>96</v>
      </c>
      <c r="J4" s="16">
        <v>10</v>
      </c>
    </row>
    <row r="5" spans="1:10" ht="15" customHeight="1" x14ac:dyDescent="0.25">
      <c r="A5" t="s">
        <v>97</v>
      </c>
      <c r="B5" s="13">
        <f>INDEX($J$4:$J$9,MATCH(B4,$H$4:$H$9,1))</f>
        <v>10</v>
      </c>
      <c r="C5" s="13">
        <f>INDEX($J$4:$J$9,MATCH(C4,$H$4:$H$9,1))</f>
        <v>10</v>
      </c>
      <c r="D5" s="13">
        <f>INDEX($J$4:$J$9,MATCH(D4,$H$4:$H$9,1))</f>
        <v>15</v>
      </c>
      <c r="E5" s="13">
        <f>INDEX($J$4:$J$9,MATCH(E4,$H$4:$H$9,1))</f>
        <v>60</v>
      </c>
      <c r="F5" s="13">
        <f>INDEX($J$4:$J$9,MATCH(F4,$H$4:$H$9,1))</f>
        <v>410</v>
      </c>
      <c r="H5" s="7">
        <v>20000</v>
      </c>
      <c r="I5" s="15" t="s">
        <v>98</v>
      </c>
      <c r="J5" s="16">
        <v>15</v>
      </c>
    </row>
    <row r="6" spans="1:10" ht="15" customHeight="1" x14ac:dyDescent="0.25">
      <c r="A6" t="s">
        <v>99</v>
      </c>
      <c r="B6" s="13">
        <f>MAX(0,B5-10)</f>
        <v>0</v>
      </c>
      <c r="C6" s="13">
        <f>MAX(0,C5-10)</f>
        <v>0</v>
      </c>
      <c r="D6" s="13">
        <f>MAX(0,D5-10)</f>
        <v>5</v>
      </c>
      <c r="E6" s="13">
        <f>MAX(0,E5-10)</f>
        <v>50</v>
      </c>
      <c r="F6" s="13">
        <f>MAX(0,F5-10)</f>
        <v>400</v>
      </c>
      <c r="H6" s="7">
        <v>75000</v>
      </c>
      <c r="I6" s="15" t="s">
        <v>100</v>
      </c>
      <c r="J6" s="16">
        <v>60</v>
      </c>
    </row>
    <row r="7" spans="1:10" ht="15" customHeight="1" x14ac:dyDescent="0.25">
      <c r="A7" t="s">
        <v>101</v>
      </c>
      <c r="B7" s="11">
        <f>'User Tiers'!B$9</f>
        <v>600</v>
      </c>
      <c r="C7" s="11">
        <f>'User Tiers'!C$9</f>
        <v>6000</v>
      </c>
      <c r="D7" s="11">
        <f>'User Tiers'!D$9</f>
        <v>30000</v>
      </c>
      <c r="E7" s="11">
        <f>'User Tiers'!E$9</f>
        <v>60000</v>
      </c>
      <c r="F7" s="11">
        <f>'User Tiers'!F$9</f>
        <v>600000</v>
      </c>
      <c r="H7" s="7">
        <v>250000</v>
      </c>
      <c r="I7" s="15" t="s">
        <v>102</v>
      </c>
      <c r="J7" s="16">
        <v>110</v>
      </c>
    </row>
    <row r="8" spans="1:10" ht="15" customHeight="1" x14ac:dyDescent="0.25">
      <c r="A8" t="s">
        <v>103</v>
      </c>
      <c r="B8" s="13">
        <f>MAX(0,B7-100000)*0.00325</f>
        <v>0</v>
      </c>
      <c r="C8" s="13">
        <f>MAX(0,C7-100000)*0.00325</f>
        <v>0</v>
      </c>
      <c r="D8" s="13">
        <f>MAX(0,D7-100000)*0.00325</f>
        <v>0</v>
      </c>
      <c r="E8" s="13">
        <f>MAX(0,E7-100000)*0.00325</f>
        <v>0</v>
      </c>
      <c r="F8" s="13">
        <f>MAX(0,F7-100000)*0.00325</f>
        <v>1625</v>
      </c>
      <c r="H8" s="7">
        <v>600000</v>
      </c>
      <c r="I8" s="15" t="s">
        <v>104</v>
      </c>
      <c r="J8" s="16">
        <v>210</v>
      </c>
    </row>
    <row r="9" spans="1:10" ht="15" customHeight="1" x14ac:dyDescent="0.25">
      <c r="A9" t="s">
        <v>105</v>
      </c>
      <c r="B9" s="17">
        <f>(('User Tiers'!B$5+'User Tiers'!B$6)*365*Assumptions!$B$27/1000000)+('User Tiers'!B$4*Assumptions!$B$28/1000000)</f>
        <v>0.58899999999999997</v>
      </c>
      <c r="C9" s="17">
        <f>(('User Tiers'!C$5+'User Tiers'!C$6)*365*Assumptions!$B$27/1000000)+('User Tiers'!C$4*Assumptions!$B$28/1000000)</f>
        <v>5.89</v>
      </c>
      <c r="D9" s="17">
        <f>(('User Tiers'!D$5+'User Tiers'!D$6)*365*Assumptions!$B$27/1000000)+('User Tiers'!D$4*Assumptions!$B$28/1000000)</f>
        <v>29.45</v>
      </c>
      <c r="E9" s="17">
        <f>(('User Tiers'!E$5+'User Tiers'!E$6)*365*Assumptions!$B$27/1000000)+('User Tiers'!E$4*Assumptions!$B$28/1000000)</f>
        <v>58.9</v>
      </c>
      <c r="F9" s="17">
        <f>(('User Tiers'!F$5+'User Tiers'!F$6)*365*Assumptions!$B$27/1000000)+('User Tiers'!F$4*Assumptions!$B$28/1000000)</f>
        <v>589</v>
      </c>
      <c r="H9" s="7">
        <v>1000000</v>
      </c>
      <c r="I9" s="15" t="s">
        <v>106</v>
      </c>
      <c r="J9" s="16">
        <v>410</v>
      </c>
    </row>
    <row r="10" spans="1:10" ht="15" customHeight="1" x14ac:dyDescent="0.25">
      <c r="A10" t="s">
        <v>107</v>
      </c>
      <c r="B10" s="13">
        <f>MAX(0,B9-8)*0.125</f>
        <v>0</v>
      </c>
      <c r="C10" s="13">
        <f>MAX(0,C9-8)*0.125</f>
        <v>0</v>
      </c>
      <c r="D10" s="13">
        <f>MAX(0,D9-8)*0.125</f>
        <v>2.6812499999999999</v>
      </c>
      <c r="E10" s="13">
        <f>MAX(0,E9-8)*0.125</f>
        <v>6.3624999999999998</v>
      </c>
      <c r="F10" s="13">
        <f>MAX(0,F9-8)*0.125</f>
        <v>72.625</v>
      </c>
    </row>
    <row r="11" spans="1:10" ht="15" customHeight="1" x14ac:dyDescent="0.25">
      <c r="A11" t="s">
        <v>108</v>
      </c>
      <c r="B11" s="11">
        <f>(B7*Assumptions!$B$29)/1024</f>
        <v>5.859375</v>
      </c>
      <c r="C11" s="11">
        <f>(C7*Assumptions!$B$29)/1024</f>
        <v>58.59375</v>
      </c>
      <c r="D11" s="11">
        <f>(D7*Assumptions!$B$29)/1024</f>
        <v>292.96875</v>
      </c>
      <c r="E11" s="11">
        <f>(E7*Assumptions!$B$29)/1024</f>
        <v>585.9375</v>
      </c>
      <c r="F11" s="11">
        <f>(F7*Assumptions!$B$29)/1024</f>
        <v>5859.375</v>
      </c>
      <c r="H11" s="30" t="s">
        <v>109</v>
      </c>
      <c r="I11" s="31"/>
      <c r="J11" s="31"/>
    </row>
    <row r="12" spans="1:10" ht="15" customHeight="1" x14ac:dyDescent="0.25">
      <c r="A12" t="s">
        <v>110</v>
      </c>
      <c r="B12" s="13">
        <f>MAX(0,B11-250)*0.09</f>
        <v>0</v>
      </c>
      <c r="C12" s="13">
        <f>MAX(0,C11-250)*0.09</f>
        <v>0</v>
      </c>
      <c r="D12" s="13">
        <f>MAX(0,D11-250)*0.09</f>
        <v>3.8671875</v>
      </c>
      <c r="E12" s="13">
        <f>MAX(0,E11-250)*0.09</f>
        <v>30.234375</v>
      </c>
      <c r="F12" s="13">
        <f>MAX(0,F11-250)*0.09</f>
        <v>504.84375</v>
      </c>
      <c r="H12" s="31"/>
      <c r="I12" s="31"/>
      <c r="J12" s="31"/>
    </row>
    <row r="13" spans="1:10" ht="15" customHeight="1" x14ac:dyDescent="0.25">
      <c r="A13" t="s">
        <v>71</v>
      </c>
      <c r="B13" s="12">
        <f>'User Tiers'!B$10</f>
        <v>50</v>
      </c>
      <c r="C13" s="12">
        <f>'User Tiers'!C$10</f>
        <v>500</v>
      </c>
      <c r="D13" s="12">
        <f>'User Tiers'!D$10</f>
        <v>1451.5449934959718</v>
      </c>
      <c r="E13" s="12">
        <f>'User Tiers'!E$10</f>
        <v>2000</v>
      </c>
      <c r="F13" s="12">
        <f>'User Tiers'!F$10</f>
        <v>30000</v>
      </c>
      <c r="H13" s="31"/>
      <c r="I13" s="31"/>
      <c r="J13" s="31"/>
    </row>
    <row r="14" spans="1:10" ht="15" customHeight="1" x14ac:dyDescent="0.25">
      <c r="A14" t="s">
        <v>111</v>
      </c>
      <c r="B14" s="13">
        <f>MAX(0,B13-100)*0.0213</f>
        <v>0</v>
      </c>
      <c r="C14" s="13">
        <f>MAX(0,C13-100)*0.0213</f>
        <v>8.52</v>
      </c>
      <c r="D14" s="13">
        <f>MAX(0,D13-100)*0.0213</f>
        <v>28.787908361464197</v>
      </c>
      <c r="E14" s="13">
        <f>MAX(0,E13-100)*0.0213</f>
        <v>40.47</v>
      </c>
      <c r="F14" s="13">
        <f>MAX(0,F13-100)*0.0213</f>
        <v>636.87</v>
      </c>
    </row>
    <row r="16" spans="1:10" ht="15" customHeight="1" x14ac:dyDescent="0.25">
      <c r="A16" t="s">
        <v>112</v>
      </c>
      <c r="B16" s="16">
        <v>25</v>
      </c>
      <c r="C16" s="16">
        <v>25</v>
      </c>
      <c r="D16" s="16">
        <v>25</v>
      </c>
      <c r="E16" s="16">
        <v>25</v>
      </c>
      <c r="F16" s="16">
        <v>25</v>
      </c>
    </row>
    <row r="17" spans="1:6" ht="15" customHeight="1" x14ac:dyDescent="0.25">
      <c r="A17" s="3" t="s">
        <v>113</v>
      </c>
      <c r="B17" s="14">
        <f>B16+B6+B8+B10+B12+B14</f>
        <v>25</v>
      </c>
      <c r="C17" s="14">
        <f>C16+C6+C8+C10+C12+C14</f>
        <v>33.519999999999996</v>
      </c>
      <c r="D17" s="14">
        <f>D16+D6+D8+D10+D12+D14</f>
        <v>65.336345861464196</v>
      </c>
      <c r="E17" s="14">
        <f>E16+E6+E8+E10+E12+E14</f>
        <v>152.06687499999998</v>
      </c>
      <c r="F17" s="14">
        <f>F16+F6+F8+F10+F12+F14</f>
        <v>3264.3387499999999</v>
      </c>
    </row>
    <row r="18" spans="1:6" ht="15" customHeight="1" x14ac:dyDescent="0.25">
      <c r="A18" t="s">
        <v>114</v>
      </c>
      <c r="B18" s="13">
        <f>B17*(1-Assumptions!$B$15)</f>
        <v>12.5</v>
      </c>
      <c r="C18" s="13">
        <f>C17*(1-Assumptions!$B$15)</f>
        <v>16.759999999999998</v>
      </c>
      <c r="D18" s="13">
        <f>D17*(1-Assumptions!$B$15)</f>
        <v>32.668172930732098</v>
      </c>
      <c r="E18" s="13">
        <f>E17*(1-Assumptions!$B$15)</f>
        <v>76.033437499999991</v>
      </c>
      <c r="F18" s="13">
        <f>F17*(1-Assumptions!$B$15)</f>
        <v>1632.1693749999999</v>
      </c>
    </row>
    <row r="19" spans="1:6" ht="15" customHeight="1" x14ac:dyDescent="0.25">
      <c r="A19" t="s">
        <v>115</v>
      </c>
      <c r="B19" s="13">
        <f>B17*(1+Assumptions!$B$15)</f>
        <v>37.5</v>
      </c>
      <c r="C19" s="13">
        <f>C17*(1+Assumptions!$B$15)</f>
        <v>50.279999999999994</v>
      </c>
      <c r="D19" s="13">
        <f>D17*(1+Assumptions!$B$15)</f>
        <v>98.004518792196293</v>
      </c>
      <c r="E19" s="13">
        <f>E17*(1+Assumptions!$B$15)</f>
        <v>228.10031249999997</v>
      </c>
      <c r="F19" s="13">
        <f>F17*(1+Assumptions!$B$15)</f>
        <v>4896.5081250000003</v>
      </c>
    </row>
    <row r="20" spans="1:6" ht="15" customHeight="1" x14ac:dyDescent="0.25">
      <c r="A20" s="3" t="s">
        <v>116</v>
      </c>
      <c r="B20" s="14">
        <f t="shared" ref="B20:F21" si="0">B18*12</f>
        <v>150</v>
      </c>
      <c r="C20" s="14">
        <f t="shared" si="0"/>
        <v>201.11999999999998</v>
      </c>
      <c r="D20" s="14">
        <f t="shared" si="0"/>
        <v>392.01807516878517</v>
      </c>
      <c r="E20" s="14">
        <f t="shared" si="0"/>
        <v>912.40124999999989</v>
      </c>
      <c r="F20" s="14">
        <f t="shared" si="0"/>
        <v>19586.032500000001</v>
      </c>
    </row>
    <row r="21" spans="1:6" ht="15" customHeight="1" x14ac:dyDescent="0.25">
      <c r="A21" s="3" t="s">
        <v>117</v>
      </c>
      <c r="B21" s="14">
        <f t="shared" si="0"/>
        <v>450</v>
      </c>
      <c r="C21" s="14">
        <f t="shared" si="0"/>
        <v>603.3599999999999</v>
      </c>
      <c r="D21" s="14">
        <f t="shared" si="0"/>
        <v>1176.0542255063556</v>
      </c>
      <c r="E21" s="14">
        <f t="shared" si="0"/>
        <v>2737.2037499999997</v>
      </c>
      <c r="F21" s="14">
        <f t="shared" si="0"/>
        <v>58758.097500000003</v>
      </c>
    </row>
    <row r="23" spans="1:6" ht="22.35" customHeight="1" x14ac:dyDescent="0.25">
      <c r="A23" s="30" t="s">
        <v>118</v>
      </c>
      <c r="B23" s="31"/>
      <c r="C23" s="31"/>
      <c r="D23" s="31"/>
      <c r="E23" s="31"/>
      <c r="F23" s="31"/>
    </row>
  </sheetData>
  <mergeCells count="3">
    <mergeCell ref="H11:J13"/>
    <mergeCell ref="A23:F23"/>
    <mergeCell ref="H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5" x14ac:dyDescent="0.25"/>
  <cols>
    <col min="1" max="1" width="40" customWidth="1"/>
    <col min="2" max="6" width="16" customWidth="1"/>
  </cols>
  <sheetData>
    <row r="1" spans="1:6" ht="18" x14ac:dyDescent="0.25">
      <c r="A1" s="27" t="s">
        <v>119</v>
      </c>
    </row>
    <row r="2" spans="1:6" ht="27.95" customHeight="1" x14ac:dyDescent="0.25">
      <c r="A2" s="33" t="s">
        <v>120</v>
      </c>
      <c r="B2" s="31"/>
      <c r="C2" s="31"/>
      <c r="D2" s="31"/>
      <c r="E2" s="31"/>
      <c r="F2" s="31"/>
    </row>
    <row r="4" spans="1:6" ht="30" x14ac:dyDescent="0.25">
      <c r="A4" s="28" t="s">
        <v>59</v>
      </c>
      <c r="B4" s="28" t="s">
        <v>60</v>
      </c>
      <c r="C4" s="28" t="s">
        <v>61</v>
      </c>
      <c r="D4" s="28" t="s">
        <v>62</v>
      </c>
      <c r="E4" s="28" t="s">
        <v>63</v>
      </c>
      <c r="F4" s="28" t="s">
        <v>64</v>
      </c>
    </row>
    <row r="5" spans="1:6" x14ac:dyDescent="0.25">
      <c r="A5" t="s">
        <v>65</v>
      </c>
      <c r="B5" s="11">
        <f>'User Tiers'!B4</f>
        <v>1000</v>
      </c>
      <c r="C5" s="11">
        <f>'User Tiers'!C4</f>
        <v>10000</v>
      </c>
      <c r="D5" s="11">
        <f>'User Tiers'!D4</f>
        <v>50000</v>
      </c>
      <c r="E5" s="11">
        <f>'User Tiers'!E4</f>
        <v>100000</v>
      </c>
      <c r="F5" s="11">
        <f>'User Tiers'!F4</f>
        <v>1000000</v>
      </c>
    </row>
    <row r="6" spans="1:6" x14ac:dyDescent="0.25">
      <c r="A6" t="s">
        <v>121</v>
      </c>
      <c r="B6" s="11">
        <f>B5*conversionRate</f>
        <v>30</v>
      </c>
      <c r="C6" s="11">
        <f>C5*conversionRate</f>
        <v>300</v>
      </c>
      <c r="D6" s="11">
        <f>D5*conversionRate</f>
        <v>1500</v>
      </c>
      <c r="E6" s="11">
        <f>E5*conversionRate</f>
        <v>3000</v>
      </c>
      <c r="F6" s="11">
        <f>F5*conversionRate</f>
        <v>30000</v>
      </c>
    </row>
    <row r="8" spans="1:6" x14ac:dyDescent="0.25">
      <c r="A8" s="22" t="s">
        <v>122</v>
      </c>
      <c r="B8" s="29">
        <f>B6*yr1Price</f>
        <v>538.5</v>
      </c>
      <c r="C8" s="29">
        <f>C6*yr1Price</f>
        <v>5385</v>
      </c>
      <c r="D8" s="29">
        <f>D6*yr1Price</f>
        <v>26925</v>
      </c>
      <c r="E8" s="29">
        <f>E6*yr1Price</f>
        <v>53850</v>
      </c>
      <c r="F8" s="29">
        <f>F6*yr1Price</f>
        <v>538500</v>
      </c>
    </row>
    <row r="9" spans="1:6" x14ac:dyDescent="0.25">
      <c r="A9" s="22" t="s">
        <v>123</v>
      </c>
      <c r="B9" s="29">
        <f>B6*yr2Price</f>
        <v>718.5</v>
      </c>
      <c r="C9" s="29">
        <f>C6*yr2Price</f>
        <v>7185</v>
      </c>
      <c r="D9" s="29">
        <f>D6*yr2Price</f>
        <v>35925</v>
      </c>
      <c r="E9" s="29">
        <f>E6*yr2Price</f>
        <v>71850</v>
      </c>
      <c r="F9" s="29">
        <f>F6*yr2Price</f>
        <v>718500</v>
      </c>
    </row>
    <row r="10" spans="1:6" x14ac:dyDescent="0.25">
      <c r="A10" t="s">
        <v>124</v>
      </c>
      <c r="B10" s="29">
        <f>B6*pctBuyingExtra*storageBlockPrice</f>
        <v>15</v>
      </c>
      <c r="C10" s="29">
        <f>C6*pctBuyingExtra*storageBlockPrice</f>
        <v>150</v>
      </c>
      <c r="D10" s="29">
        <f>D6*pctBuyingExtra*storageBlockPrice</f>
        <v>750</v>
      </c>
      <c r="E10" s="29">
        <f>E6*pctBuyingExtra*storageBlockPrice</f>
        <v>1500</v>
      </c>
      <c r="F10" s="29">
        <f>F6*pctBuyingExtra*storageBlockPrice</f>
        <v>15000</v>
      </c>
    </row>
    <row r="12" spans="1:6" x14ac:dyDescent="0.25">
      <c r="A12" s="22" t="s">
        <v>125</v>
      </c>
      <c r="B12" s="29">
        <f>B8+B10</f>
        <v>553.5</v>
      </c>
      <c r="C12" s="29">
        <f>C8+C10</f>
        <v>5535</v>
      </c>
      <c r="D12" s="29">
        <f>D8+D10</f>
        <v>27675</v>
      </c>
      <c r="E12" s="29">
        <f>E8+E10</f>
        <v>55350</v>
      </c>
      <c r="F12" s="29">
        <f>F8+F10</f>
        <v>553500</v>
      </c>
    </row>
    <row r="13" spans="1:6" x14ac:dyDescent="0.25">
      <c r="A13" s="22" t="s">
        <v>126</v>
      </c>
      <c r="B13" s="29">
        <f>B9+B10</f>
        <v>733.5</v>
      </c>
      <c r="C13" s="29">
        <f>C9+C10</f>
        <v>7335</v>
      </c>
      <c r="D13" s="29">
        <f>D9+D10</f>
        <v>36675</v>
      </c>
      <c r="E13" s="29">
        <f>E9+E10</f>
        <v>73350</v>
      </c>
      <c r="F13" s="29">
        <f>F9+F10</f>
        <v>733500</v>
      </c>
    </row>
    <row r="15" spans="1:6" ht="26.1" customHeight="1" x14ac:dyDescent="0.25">
      <c r="A15" s="33" t="s">
        <v>127</v>
      </c>
      <c r="B15" s="31"/>
      <c r="C15" s="31"/>
      <c r="D15" s="31"/>
      <c r="E15" s="31"/>
      <c r="F15" s="31"/>
    </row>
    <row r="16" spans="1:6" x14ac:dyDescent="0.25">
      <c r="A16" t="s">
        <v>128</v>
      </c>
      <c r="B16" s="11">
        <f>B6*storageIncludedGB</f>
        <v>150</v>
      </c>
      <c r="C16" s="11">
        <f>C6*storageIncludedGB</f>
        <v>1500</v>
      </c>
      <c r="D16" s="11">
        <f>D6*storageIncludedGB</f>
        <v>7500</v>
      </c>
      <c r="E16" s="11">
        <f>E6*storageIncludedGB</f>
        <v>15000</v>
      </c>
      <c r="F16" s="11">
        <f>F6*storageIncludedGB</f>
        <v>150000</v>
      </c>
    </row>
    <row r="17" spans="1:6" x14ac:dyDescent="0.25">
      <c r="A17" t="s">
        <v>129</v>
      </c>
      <c r="B17" s="29">
        <f>MAX(0,B16-100)*0.0213*12</f>
        <v>12.78</v>
      </c>
      <c r="C17" s="29">
        <f>MAX(0,C16-100)*0.0213*12</f>
        <v>357.84000000000003</v>
      </c>
      <c r="D17" s="29">
        <f>MAX(0,D16-100)*0.0213*12</f>
        <v>1891.44</v>
      </c>
      <c r="E17" s="29">
        <f>MAX(0,E16-100)*0.0213*12</f>
        <v>3808.44</v>
      </c>
      <c r="F17" s="29">
        <f>MAX(0,F16-100)*0.0213*12</f>
        <v>38314.44</v>
      </c>
    </row>
  </sheetData>
  <mergeCells count="2">
    <mergeCell ref="A2:F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Normal="100" workbookViewId="0">
      <selection activeCell="F4" sqref="F4"/>
    </sheetView>
  </sheetViews>
  <sheetFormatPr defaultColWidth="8.7109375" defaultRowHeight="15" x14ac:dyDescent="0.25"/>
  <cols>
    <col min="1" max="1" width="40" customWidth="1"/>
    <col min="2" max="6" width="14" customWidth="1"/>
  </cols>
  <sheetData>
    <row r="1" spans="1:6" ht="17.45" customHeight="1" x14ac:dyDescent="0.25">
      <c r="A1" s="1" t="s">
        <v>130</v>
      </c>
    </row>
    <row r="2" spans="1:6" ht="15" customHeight="1" x14ac:dyDescent="0.25">
      <c r="A2" s="2" t="s">
        <v>131</v>
      </c>
    </row>
    <row r="3" spans="1:6" ht="30" customHeight="1" x14ac:dyDescent="0.2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 spans="1:6" ht="15" customHeight="1" x14ac:dyDescent="0.25">
      <c r="A4" t="s">
        <v>65</v>
      </c>
      <c r="B4" s="7">
        <v>1000</v>
      </c>
      <c r="C4" s="7">
        <v>10000</v>
      </c>
      <c r="D4" s="7">
        <v>50000</v>
      </c>
      <c r="E4" s="7">
        <v>100000</v>
      </c>
      <c r="F4" s="7">
        <v>1000000</v>
      </c>
    </row>
    <row r="6" spans="1:6" ht="15" customHeight="1" x14ac:dyDescent="0.25">
      <c r="A6" s="3" t="s">
        <v>132</v>
      </c>
      <c r="B6" s="13">
        <f>C6</f>
        <v>4400</v>
      </c>
      <c r="C6" s="16">
        <v>4400</v>
      </c>
      <c r="D6" s="13">
        <f>C6+(E6-C6)*(LOG10(D4)-LOG10(C4))/(LOG10(E4)-LOG10(C4))</f>
        <v>17400.842080649949</v>
      </c>
      <c r="E6" s="16">
        <v>23000</v>
      </c>
      <c r="F6" s="16">
        <v>100000</v>
      </c>
    </row>
    <row r="7" spans="1:6" ht="15" customHeight="1" x14ac:dyDescent="0.25">
      <c r="A7" s="3" t="s">
        <v>133</v>
      </c>
      <c r="B7" s="13">
        <f>C7</f>
        <v>7900</v>
      </c>
      <c r="C7" s="16">
        <v>7900</v>
      </c>
      <c r="D7" s="13">
        <f>C7+(E7-C7)*(LOG10(D4)-LOG10(C4))/(LOG10(E4)-LOG10(C4))</f>
        <v>29637.967134850183</v>
      </c>
      <c r="E7" s="16">
        <v>39000</v>
      </c>
      <c r="F7" s="16">
        <v>180000</v>
      </c>
    </row>
    <row r="9" spans="1:6" ht="60" customHeight="1" x14ac:dyDescent="0.25">
      <c r="A9" s="30" t="s">
        <v>134</v>
      </c>
      <c r="B9" s="31"/>
      <c r="C9" s="31"/>
      <c r="D9" s="31"/>
      <c r="E9" s="31"/>
      <c r="F9" s="31"/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zoomScaleNormal="100" workbookViewId="0">
      <selection activeCell="L9" sqref="L9"/>
    </sheetView>
  </sheetViews>
  <sheetFormatPr defaultColWidth="8.7109375" defaultRowHeight="15" x14ac:dyDescent="0.25"/>
  <cols>
    <col min="1" max="1" width="22" customWidth="1"/>
    <col min="2" max="7" width="16" customWidth="1"/>
    <col min="8" max="8" width="22" customWidth="1"/>
    <col min="9" max="9" width="18" customWidth="1"/>
    <col min="10" max="11" width="20" customWidth="1"/>
    <col min="12" max="12" width="22" customWidth="1"/>
  </cols>
  <sheetData>
    <row r="1" spans="1:12" ht="17.45" customHeight="1" x14ac:dyDescent="0.25">
      <c r="A1" s="1" t="s">
        <v>135</v>
      </c>
    </row>
    <row r="2" spans="1:12" ht="15" customHeight="1" x14ac:dyDescent="0.25">
      <c r="A2" s="2" t="s">
        <v>136</v>
      </c>
    </row>
    <row r="4" spans="1:12" ht="45" customHeight="1" x14ac:dyDescent="0.25">
      <c r="A4" s="9" t="s">
        <v>65</v>
      </c>
      <c r="B4" s="9" t="s">
        <v>137</v>
      </c>
      <c r="C4" s="9" t="s">
        <v>138</v>
      </c>
      <c r="D4" s="9" t="s">
        <v>139</v>
      </c>
      <c r="E4" s="9" t="s">
        <v>140</v>
      </c>
      <c r="F4" s="9" t="s">
        <v>141</v>
      </c>
      <c r="G4" s="9" t="s">
        <v>142</v>
      </c>
      <c r="H4" s="9" t="s">
        <v>143</v>
      </c>
      <c r="I4" s="28" t="s">
        <v>144</v>
      </c>
      <c r="J4" s="28" t="s">
        <v>145</v>
      </c>
      <c r="K4" s="28" t="s">
        <v>146</v>
      </c>
      <c r="L4" s="28" t="s">
        <v>147</v>
      </c>
    </row>
    <row r="5" spans="1:12" ht="15" customHeight="1" x14ac:dyDescent="0.25">
      <c r="A5" s="12">
        <f>'User Tiers'!B4</f>
        <v>1000</v>
      </c>
      <c r="B5" s="18">
        <f>'AWS (PRD sec 6.2)'!B6</f>
        <v>4400</v>
      </c>
      <c r="C5" s="18">
        <f>'AWS (PRD sec 6.2)'!B7</f>
        <v>7900</v>
      </c>
      <c r="D5" s="14">
        <f>AVERAGE(B5:C5)</f>
        <v>6150</v>
      </c>
      <c r="E5" s="19">
        <f>'Vercel Cost Model'!B20+'Supabase Cost Model'!B20</f>
        <v>270.24644999999998</v>
      </c>
      <c r="F5" s="19">
        <f>'Vercel Cost Model'!B21+'Supabase Cost Model'!B21</f>
        <v>810.73935000000006</v>
      </c>
      <c r="G5" s="14">
        <f>AVERAGE(E5:F5)</f>
        <v>540.49289999999996</v>
      </c>
      <c r="H5" s="20">
        <f>D5/G5</f>
        <v>11.378502844348187</v>
      </c>
      <c r="I5" s="11">
        <f>'Subscriber Revenue'!B6</f>
        <v>30</v>
      </c>
      <c r="J5" s="29">
        <f>'Subscriber Revenue'!B12</f>
        <v>553.5</v>
      </c>
      <c r="K5" s="29">
        <f>'Subscriber Revenue'!B13</f>
        <v>733.5</v>
      </c>
      <c r="L5" s="29">
        <f>K5-G5</f>
        <v>193.00710000000004</v>
      </c>
    </row>
    <row r="6" spans="1:12" ht="15" customHeight="1" x14ac:dyDescent="0.25">
      <c r="A6" s="12">
        <f>'User Tiers'!C4</f>
        <v>10000</v>
      </c>
      <c r="B6" s="18">
        <f>'AWS (PRD sec 6.2)'!C6</f>
        <v>4400</v>
      </c>
      <c r="C6" s="18">
        <f>'AWS (PRD sec 6.2)'!C7</f>
        <v>7900</v>
      </c>
      <c r="D6" s="14">
        <f>AVERAGE(B6:C6)</f>
        <v>6150</v>
      </c>
      <c r="E6" s="19">
        <f>'Vercel Cost Model'!C20+'Supabase Cost Model'!C20</f>
        <v>326.68049999999994</v>
      </c>
      <c r="F6" s="19">
        <f>'Vercel Cost Model'!C21+'Supabase Cost Model'!C21</f>
        <v>980.04149999999981</v>
      </c>
      <c r="G6" s="14">
        <f>AVERAGE(E6:F6)</f>
        <v>653.36099999999988</v>
      </c>
      <c r="H6" s="20">
        <f>D6/G6</f>
        <v>9.4128667000326018</v>
      </c>
      <c r="I6" s="11">
        <f>'Subscriber Revenue'!C6</f>
        <v>300</v>
      </c>
      <c r="J6" s="29">
        <f>'Subscriber Revenue'!C12</f>
        <v>5535</v>
      </c>
      <c r="K6" s="29">
        <f>'Subscriber Revenue'!C13</f>
        <v>7335</v>
      </c>
      <c r="L6" s="29">
        <f>K6-G6</f>
        <v>6681.6390000000001</v>
      </c>
    </row>
    <row r="7" spans="1:12" ht="15" customHeight="1" x14ac:dyDescent="0.25">
      <c r="A7" s="12">
        <f>'User Tiers'!D4</f>
        <v>50000</v>
      </c>
      <c r="B7" s="18">
        <f>'AWS (PRD sec 6.2)'!D6</f>
        <v>17400.842080649949</v>
      </c>
      <c r="C7" s="18">
        <f>'AWS (PRD sec 6.2)'!D7</f>
        <v>29637.967134850183</v>
      </c>
      <c r="D7" s="14">
        <f>AVERAGE(B7:C7)</f>
        <v>23519.404607750068</v>
      </c>
      <c r="E7" s="19">
        <f>'Vercel Cost Model'!D20+'Supabase Cost Model'!D20</f>
        <v>657.42057516878526</v>
      </c>
      <c r="F7" s="19">
        <f>'Vercel Cost Model'!D21+'Supabase Cost Model'!D21</f>
        <v>1972.2617255063556</v>
      </c>
      <c r="G7" s="14">
        <f>AVERAGE(E7:F7)</f>
        <v>1314.8411503375705</v>
      </c>
      <c r="H7" s="20">
        <f>D7/G7</f>
        <v>17.887639584227895</v>
      </c>
      <c r="I7" s="11">
        <f>'Subscriber Revenue'!D6</f>
        <v>1500</v>
      </c>
      <c r="J7" s="29">
        <f>'Subscriber Revenue'!D12</f>
        <v>27675</v>
      </c>
      <c r="K7" s="29">
        <f>'Subscriber Revenue'!D13</f>
        <v>36675</v>
      </c>
      <c r="L7" s="29">
        <f>K7-G7</f>
        <v>35360.158849662432</v>
      </c>
    </row>
    <row r="8" spans="1:12" ht="15" customHeight="1" x14ac:dyDescent="0.25">
      <c r="A8" s="12">
        <f>'User Tiers'!E4</f>
        <v>100000</v>
      </c>
      <c r="B8" s="18">
        <f>'AWS (PRD sec 6.2)'!E6</f>
        <v>23000</v>
      </c>
      <c r="C8" s="18">
        <f>'AWS (PRD sec 6.2)'!E7</f>
        <v>39000</v>
      </c>
      <c r="D8" s="14">
        <f>AVERAGE(B8:C8)</f>
        <v>31000</v>
      </c>
      <c r="E8" s="19">
        <f>'Vercel Cost Model'!E20+'Supabase Cost Model'!E20</f>
        <v>1601.4937500000001</v>
      </c>
      <c r="F8" s="19">
        <f>'Vercel Cost Model'!E21+'Supabase Cost Model'!E21</f>
        <v>4804.4812499999998</v>
      </c>
      <c r="G8" s="14">
        <f>AVERAGE(E8:F8)</f>
        <v>3202.9875000000002</v>
      </c>
      <c r="H8" s="20">
        <f>D8/G8</f>
        <v>9.6784642462700834</v>
      </c>
      <c r="I8" s="11">
        <f>'Subscriber Revenue'!E6</f>
        <v>3000</v>
      </c>
      <c r="J8" s="29">
        <f>'Subscriber Revenue'!E12</f>
        <v>55350</v>
      </c>
      <c r="K8" s="29">
        <f>'Subscriber Revenue'!E13</f>
        <v>73350</v>
      </c>
      <c r="L8" s="29">
        <f>K8-G8</f>
        <v>70147.012499999997</v>
      </c>
    </row>
    <row r="9" spans="1:12" ht="15" customHeight="1" x14ac:dyDescent="0.25">
      <c r="A9" s="12">
        <f>'User Tiers'!F4</f>
        <v>1000000</v>
      </c>
      <c r="B9" s="18">
        <f>'AWS (PRD sec 6.2)'!F6</f>
        <v>100000</v>
      </c>
      <c r="C9" s="18">
        <f>'AWS (PRD sec 6.2)'!F7</f>
        <v>180000</v>
      </c>
      <c r="D9" s="14">
        <f>AVERAGE(B9:C9)</f>
        <v>140000</v>
      </c>
      <c r="E9" s="19">
        <f>'Vercel Cost Model'!F20+'Supabase Cost Model'!F20</f>
        <v>34609.357499999998</v>
      </c>
      <c r="F9" s="19">
        <f>'Vercel Cost Model'!F21+'Supabase Cost Model'!F21</f>
        <v>103828.07250000001</v>
      </c>
      <c r="G9" s="14">
        <f>AVERAGE(E9:F9)</f>
        <v>69218.714999999997</v>
      </c>
      <c r="H9" s="20">
        <f>D9/G9</f>
        <v>2.0225743861324212</v>
      </c>
      <c r="I9" s="11">
        <f>'Subscriber Revenue'!F6</f>
        <v>30000</v>
      </c>
      <c r="J9" s="29">
        <f>'Subscriber Revenue'!F12</f>
        <v>553500</v>
      </c>
      <c r="K9" s="29">
        <f>'Subscriber Revenue'!F13</f>
        <v>733500</v>
      </c>
      <c r="L9" s="29">
        <f>K9-G9</f>
        <v>664281.28500000003</v>
      </c>
    </row>
    <row r="11" spans="1:12" ht="15" customHeight="1" x14ac:dyDescent="0.25">
      <c r="A11" s="30" t="s">
        <v>148</v>
      </c>
      <c r="B11" s="31"/>
      <c r="C11" s="31"/>
      <c r="D11" s="31"/>
      <c r="E11" s="31"/>
      <c r="F11" s="31"/>
      <c r="G11" s="31"/>
      <c r="H11" s="31"/>
    </row>
    <row r="13" spans="1:12" ht="15" customHeight="1" x14ac:dyDescent="0.25">
      <c r="A13" s="3" t="s">
        <v>149</v>
      </c>
    </row>
    <row r="14" spans="1:12" ht="109.5" customHeight="1" x14ac:dyDescent="0.25">
      <c r="A14" s="30" t="s">
        <v>150</v>
      </c>
      <c r="B14" s="31"/>
      <c r="C14" s="31"/>
      <c r="D14" s="31"/>
      <c r="E14" s="31"/>
      <c r="F14" s="31"/>
      <c r="G14" s="31"/>
      <c r="H14" s="31"/>
    </row>
    <row r="16" spans="1:12" ht="45" customHeight="1" x14ac:dyDescent="0.25">
      <c r="A16" s="34" t="s">
        <v>151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</sheetData>
  <mergeCells count="3">
    <mergeCell ref="A11:H11"/>
    <mergeCell ref="A16:L16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tabSelected="1" topLeftCell="A6" zoomScaleNormal="100" workbookViewId="0">
      <selection activeCell="F13" sqref="F13"/>
    </sheetView>
  </sheetViews>
  <sheetFormatPr defaultColWidth="8.7109375" defaultRowHeight="15" x14ac:dyDescent="0.25"/>
  <cols>
    <col min="1" max="1" width="26" customWidth="1"/>
    <col min="2" max="2" width="22" customWidth="1"/>
    <col min="3" max="3" width="55" customWidth="1"/>
  </cols>
  <sheetData>
    <row r="1" spans="1:3" ht="17.45" customHeight="1" x14ac:dyDescent="0.25">
      <c r="A1" s="1" t="s">
        <v>152</v>
      </c>
    </row>
    <row r="2" spans="1:3" ht="15" customHeight="1" x14ac:dyDescent="0.25">
      <c r="A2" s="2" t="s">
        <v>153</v>
      </c>
    </row>
    <row r="4" spans="1:3" ht="15" customHeight="1" x14ac:dyDescent="0.25">
      <c r="A4" s="3" t="s">
        <v>154</v>
      </c>
    </row>
    <row r="5" spans="1:3" ht="26.85" customHeight="1" x14ac:dyDescent="0.25">
      <c r="A5" s="35" t="s">
        <v>155</v>
      </c>
      <c r="B5" s="31"/>
      <c r="C5" s="31"/>
    </row>
    <row r="7" spans="1:3" ht="26.85" customHeight="1" x14ac:dyDescent="0.25">
      <c r="A7" s="9" t="s">
        <v>94</v>
      </c>
      <c r="B7" s="9" t="s">
        <v>156</v>
      </c>
      <c r="C7" s="9" t="s">
        <v>157</v>
      </c>
    </row>
    <row r="8" spans="1:3" ht="76.5" customHeight="1" x14ac:dyDescent="0.25">
      <c r="A8" s="3" t="s">
        <v>158</v>
      </c>
      <c r="B8" s="4" t="s">
        <v>159</v>
      </c>
      <c r="C8" s="21" t="s">
        <v>160</v>
      </c>
    </row>
    <row r="9" spans="1:3" ht="63.75" customHeight="1" x14ac:dyDescent="0.25">
      <c r="A9" s="3" t="s">
        <v>161</v>
      </c>
      <c r="B9" s="4" t="s">
        <v>162</v>
      </c>
      <c r="C9" s="21" t="s">
        <v>163</v>
      </c>
    </row>
    <row r="10" spans="1:3" ht="53.25" customHeight="1" x14ac:dyDescent="0.25">
      <c r="A10" s="3" t="s">
        <v>164</v>
      </c>
      <c r="B10" s="4" t="s">
        <v>165</v>
      </c>
      <c r="C10" s="21" t="s">
        <v>166</v>
      </c>
    </row>
    <row r="12" spans="1:3" ht="15" customHeight="1" x14ac:dyDescent="0.25">
      <c r="A12" s="3" t="s">
        <v>167</v>
      </c>
    </row>
    <row r="13" spans="1:3" ht="90" customHeight="1" x14ac:dyDescent="0.25">
      <c r="A13" s="35" t="s">
        <v>168</v>
      </c>
      <c r="B13" s="31"/>
      <c r="C13" s="31"/>
    </row>
  </sheetData>
  <mergeCells count="2">
    <mergeCell ref="A5:C5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Assumptions</vt:lpstr>
      <vt:lpstr>User Tiers</vt:lpstr>
      <vt:lpstr>Vercel Cost Model</vt:lpstr>
      <vt:lpstr>Supabase Cost Model</vt:lpstr>
      <vt:lpstr>Subscriber Revenue</vt:lpstr>
      <vt:lpstr>AWS (PRD sec 6.2)</vt:lpstr>
      <vt:lpstr>Crossover Summary</vt:lpstr>
      <vt:lpstr>AWS Activate Credits</vt:lpstr>
      <vt:lpstr>conversionRate</vt:lpstr>
      <vt:lpstr>pctBuyingExtra</vt:lpstr>
      <vt:lpstr>storageBlockGB</vt:lpstr>
      <vt:lpstr>storageBlockPrice</vt:lpstr>
      <vt:lpstr>storageIncludedGB</vt:lpstr>
      <vt:lpstr>yr1Price</vt:lpstr>
      <vt:lpstr>yr2Price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Gillon</cp:lastModifiedBy>
  <cp:revision>0</cp:revision>
  <dcterms:created xsi:type="dcterms:W3CDTF">2026-08-15T01:35:46Z</dcterms:created>
  <dcterms:modified xsi:type="dcterms:W3CDTF">2026-08-25T00:17:20Z</dcterms:modified>
  <dc:language>en-US</dc:language>
</cp:coreProperties>
</file>